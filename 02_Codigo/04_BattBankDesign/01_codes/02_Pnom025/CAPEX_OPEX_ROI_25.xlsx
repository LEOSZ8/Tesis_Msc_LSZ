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r\Documents\Tesis Magister\Tesis_Msc_LSZ\02_Codigo\04_BattBankDesign\01_codes\02_Pnom025\"/>
    </mc:Choice>
  </mc:AlternateContent>
  <xr:revisionPtr revIDLastSave="0" documentId="13_ncr:1_{67233AF1-EA0F-4624-A7BE-B0978D9A25D2}" xr6:coauthVersionLast="47" xr6:coauthVersionMax="47" xr10:uidLastSave="{00000000-0000-0000-0000-000000000000}"/>
  <bookViews>
    <workbookView xWindow="-110" yWindow="-110" windowWidth="19420" windowHeight="10420" activeTab="3" xr2:uid="{32DAA168-B565-429F-AAFE-E289AA3DABBF}"/>
  </bookViews>
  <sheets>
    <sheet name="Costs 25%" sheetId="1" r:id="rId1"/>
    <sheet name="CAPEX 25%" sheetId="2" r:id="rId2"/>
    <sheet name="OPEX 25%" sheetId="3" r:id="rId3"/>
    <sheet name="VAN 25%" sheetId="4" r:id="rId4"/>
    <sheet name="TIR 25%" sheetId="6" r:id="rId5"/>
    <sheet name="ROI 25%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I14" i="3"/>
  <c r="I15" i="3" s="1"/>
  <c r="F14" i="3"/>
  <c r="C14" i="3"/>
  <c r="C13" i="2"/>
  <c r="F15" i="3"/>
  <c r="G5" i="1"/>
  <c r="F13" i="3"/>
  <c r="F2" i="8"/>
  <c r="C12" i="2"/>
  <c r="F10" i="3"/>
  <c r="I13" i="3"/>
  <c r="L9" i="3"/>
  <c r="L8" i="3"/>
  <c r="L7" i="3"/>
  <c r="L6" i="3"/>
  <c r="L4" i="3"/>
  <c r="L5" i="3" s="1"/>
  <c r="L10" i="3" s="1"/>
  <c r="L3" i="3"/>
  <c r="I9" i="3"/>
  <c r="I7" i="3"/>
  <c r="I8" i="3" s="1"/>
  <c r="I6" i="3"/>
  <c r="I4" i="3"/>
  <c r="I3" i="3"/>
  <c r="I5" i="3" s="1"/>
  <c r="I10" i="3" s="1"/>
  <c r="L15" i="3" l="1"/>
  <c r="L18" i="3" l="1"/>
  <c r="C6" i="4"/>
  <c r="I18" i="3"/>
  <c r="D16" i="4" l="1"/>
  <c r="H16" i="4"/>
  <c r="L16" i="4"/>
  <c r="F11" i="4"/>
  <c r="J11" i="4"/>
  <c r="G16" i="4"/>
  <c r="E11" i="4"/>
  <c r="C11" i="4"/>
  <c r="E16" i="4"/>
  <c r="I16" i="4"/>
  <c r="C16" i="4"/>
  <c r="G11" i="4"/>
  <c r="K11" i="4"/>
  <c r="F16" i="4"/>
  <c r="J16" i="4"/>
  <c r="D11" i="4"/>
  <c r="H11" i="4"/>
  <c r="L11" i="4"/>
  <c r="K16" i="4"/>
  <c r="I11" i="4"/>
  <c r="C15" i="3"/>
  <c r="F7" i="3"/>
  <c r="F6" i="3"/>
  <c r="F8" i="3" s="1"/>
  <c r="C7" i="3"/>
  <c r="C6" i="3"/>
  <c r="C8" i="3" s="1"/>
  <c r="I17" i="3" l="1"/>
  <c r="I19" i="3" s="1"/>
  <c r="L17" i="3"/>
  <c r="L19" i="3" s="1"/>
  <c r="F5" i="3"/>
  <c r="F4" i="3"/>
  <c r="F3" i="3"/>
  <c r="F9" i="3"/>
  <c r="C9" i="3"/>
  <c r="C4" i="3"/>
  <c r="C3" i="3"/>
  <c r="C5" i="3" s="1"/>
  <c r="C10" i="3" s="1"/>
  <c r="F17" i="3" s="1"/>
  <c r="C6" i="8" l="1"/>
  <c r="C4" i="6"/>
  <c r="C5" i="4"/>
  <c r="C5" i="8"/>
  <c r="C3" i="6"/>
  <c r="F18" i="3"/>
  <c r="F19" i="3" s="1"/>
  <c r="I10" i="2"/>
  <c r="I9" i="2"/>
  <c r="I8" i="2"/>
  <c r="I7" i="2"/>
  <c r="F10" i="2"/>
  <c r="F9" i="2"/>
  <c r="F8" i="2"/>
  <c r="F7" i="2"/>
  <c r="C10" i="2"/>
  <c r="C9" i="2"/>
  <c r="C8" i="2"/>
  <c r="C7" i="2"/>
  <c r="G26" i="1"/>
  <c r="H26" i="1" s="1"/>
  <c r="G23" i="1"/>
  <c r="H23" i="1" s="1"/>
  <c r="H20" i="1"/>
  <c r="G20" i="1"/>
  <c r="H17" i="1"/>
  <c r="G17" i="1"/>
  <c r="G14" i="1"/>
  <c r="H14" i="1" s="1"/>
  <c r="G13" i="1"/>
  <c r="H13" i="1" s="1"/>
  <c r="F10" i="1"/>
  <c r="G10" i="1" s="1"/>
  <c r="G6" i="1"/>
  <c r="F4" i="2" s="1"/>
  <c r="G7" i="1"/>
  <c r="I4" i="2" s="1"/>
  <c r="F6" i="1"/>
  <c r="F7" i="1"/>
  <c r="F5" i="1"/>
  <c r="C4" i="2" s="1"/>
  <c r="D15" i="4" l="1"/>
  <c r="I15" i="4"/>
  <c r="H10" i="4"/>
  <c r="L10" i="4"/>
  <c r="F15" i="4"/>
  <c r="D10" i="4"/>
  <c r="F10" i="4"/>
  <c r="J10" i="4"/>
  <c r="G15" i="4"/>
  <c r="K10" i="4"/>
  <c r="C10" i="4"/>
  <c r="E15" i="4"/>
  <c r="J15" i="4"/>
  <c r="C15" i="4"/>
  <c r="E10" i="4"/>
  <c r="I10" i="4"/>
  <c r="K15" i="4"/>
  <c r="H15" i="4"/>
  <c r="L15" i="4"/>
  <c r="G10" i="4"/>
  <c r="G19" i="6"/>
  <c r="K19" i="6"/>
  <c r="O19" i="6"/>
  <c r="S19" i="6"/>
  <c r="C19" i="6"/>
  <c r="E19" i="6"/>
  <c r="I19" i="6"/>
  <c r="M19" i="6"/>
  <c r="U19" i="6"/>
  <c r="F19" i="6"/>
  <c r="J19" i="6"/>
  <c r="N19" i="6"/>
  <c r="R19" i="6"/>
  <c r="D19" i="6"/>
  <c r="H19" i="6"/>
  <c r="L19" i="6"/>
  <c r="P19" i="6"/>
  <c r="T19" i="6"/>
  <c r="Q19" i="6"/>
  <c r="V19" i="6"/>
  <c r="G14" i="6"/>
  <c r="K14" i="6"/>
  <c r="O14" i="6"/>
  <c r="S14" i="6"/>
  <c r="C14" i="6"/>
  <c r="E14" i="6"/>
  <c r="M14" i="6"/>
  <c r="U14" i="6"/>
  <c r="F14" i="6"/>
  <c r="J14" i="6"/>
  <c r="R14" i="6"/>
  <c r="D14" i="6"/>
  <c r="H14" i="6"/>
  <c r="L14" i="6"/>
  <c r="P14" i="6"/>
  <c r="T14" i="6"/>
  <c r="I14" i="6"/>
  <c r="Q14" i="6"/>
  <c r="N14" i="6"/>
  <c r="V14" i="6"/>
  <c r="C28" i="8"/>
  <c r="D28" i="8" s="1"/>
  <c r="E28" i="8" s="1"/>
  <c r="F28" i="8" s="1"/>
  <c r="G28" i="8" s="1"/>
  <c r="H28" i="8" s="1"/>
  <c r="I28" i="8" s="1"/>
  <c r="J28" i="8" s="1"/>
  <c r="K28" i="8" s="1"/>
  <c r="L28" i="8" s="1"/>
  <c r="C32" i="8" s="1"/>
  <c r="D32" i="8" s="1"/>
  <c r="E32" i="8" s="1"/>
  <c r="F32" i="8" s="1"/>
  <c r="G32" i="8" s="1"/>
  <c r="H32" i="8" s="1"/>
  <c r="I32" i="8" s="1"/>
  <c r="J32" i="8" s="1"/>
  <c r="K32" i="8" s="1"/>
  <c r="L32" i="8" s="1"/>
  <c r="I4" i="8"/>
  <c r="I3" i="8"/>
  <c r="C18" i="8"/>
  <c r="D18" i="8" s="1"/>
  <c r="E18" i="8" s="1"/>
  <c r="F18" i="8" s="1"/>
  <c r="G18" i="8" s="1"/>
  <c r="H18" i="8" s="1"/>
  <c r="I18" i="8" s="1"/>
  <c r="J18" i="8" s="1"/>
  <c r="K18" i="8" s="1"/>
  <c r="L18" i="8" s="1"/>
  <c r="C22" i="8" s="1"/>
  <c r="D22" i="8" s="1"/>
  <c r="E22" i="8" s="1"/>
  <c r="F22" i="8" s="1"/>
  <c r="G22" i="8" s="1"/>
  <c r="H22" i="8" s="1"/>
  <c r="I22" i="8" s="1"/>
  <c r="J22" i="8" s="1"/>
  <c r="K22" i="8" s="1"/>
  <c r="L22" i="8" s="1"/>
  <c r="C2" i="6"/>
  <c r="C9" i="6" s="1"/>
  <c r="C4" i="4"/>
  <c r="C9" i="4" s="1"/>
  <c r="I6" i="2"/>
  <c r="I11" i="2" s="1"/>
  <c r="C6" i="2"/>
  <c r="I5" i="2"/>
  <c r="F5" i="2"/>
  <c r="C4" i="8"/>
  <c r="I2" i="8" s="1"/>
  <c r="F6" i="2"/>
  <c r="F11" i="2" s="1"/>
  <c r="C5" i="2"/>
  <c r="C11" i="2" s="1"/>
  <c r="F12" i="2" l="1"/>
  <c r="F13" i="2"/>
  <c r="F14" i="2" s="1"/>
  <c r="F3" i="4" s="1"/>
  <c r="O3" i="4" s="1"/>
  <c r="I12" i="2"/>
  <c r="I13" i="2"/>
  <c r="K9" i="6"/>
  <c r="M9" i="6"/>
  <c r="F14" i="4"/>
  <c r="R9" i="6"/>
  <c r="G9" i="6"/>
  <c r="E9" i="6"/>
  <c r="H9" i="6"/>
  <c r="J14" i="4"/>
  <c r="N9" i="6"/>
  <c r="K14" i="4"/>
  <c r="F9" i="4"/>
  <c r="D9" i="4"/>
  <c r="L14" i="4"/>
  <c r="G9" i="4"/>
  <c r="K9" i="4"/>
  <c r="I14" i="4"/>
  <c r="D14" i="4"/>
  <c r="H14" i="4"/>
  <c r="H9" i="4"/>
  <c r="L9" i="4"/>
  <c r="I9" i="4"/>
  <c r="J9" i="6"/>
  <c r="U9" i="6"/>
  <c r="P9" i="6"/>
  <c r="Q9" i="6"/>
  <c r="L9" i="6"/>
  <c r="J9" i="4"/>
  <c r="G14" i="4"/>
  <c r="E9" i="4"/>
  <c r="E14" i="4"/>
  <c r="C14" i="4"/>
  <c r="S9" i="6"/>
  <c r="V9" i="6"/>
  <c r="F9" i="6"/>
  <c r="O9" i="6"/>
  <c r="I9" i="6"/>
  <c r="T9" i="6"/>
  <c r="D9" i="6"/>
  <c r="F3" i="8"/>
  <c r="B18" i="8" s="1"/>
  <c r="F4" i="8"/>
  <c r="I3" i="4" l="1"/>
  <c r="L3" i="4"/>
  <c r="I14" i="2"/>
  <c r="F4" i="4" s="1"/>
  <c r="C14" i="2"/>
  <c r="B14" i="6"/>
  <c r="B28" i="8"/>
  <c r="B9" i="8"/>
  <c r="L3" i="6" l="1"/>
  <c r="F3" i="6"/>
  <c r="I3" i="6"/>
  <c r="F2" i="4"/>
  <c r="B9" i="6"/>
  <c r="L4" i="4"/>
  <c r="I4" i="4"/>
  <c r="O4" i="4"/>
  <c r="B19" i="6"/>
  <c r="C9" i="8"/>
  <c r="D9" i="8" s="1"/>
  <c r="E9" i="8" s="1"/>
  <c r="F9" i="8" s="1"/>
  <c r="G9" i="8" s="1"/>
  <c r="H9" i="8" s="1"/>
  <c r="I9" i="8" s="1"/>
  <c r="J9" i="8" s="1"/>
  <c r="K9" i="8" s="1"/>
  <c r="L9" i="8" s="1"/>
  <c r="C13" i="8" s="1"/>
  <c r="D13" i="8" s="1"/>
  <c r="E13" i="8" s="1"/>
  <c r="F13" i="8" s="1"/>
  <c r="G13" i="8" s="1"/>
  <c r="H13" i="8" s="1"/>
  <c r="I13" i="8" s="1"/>
  <c r="J13" i="8" s="1"/>
  <c r="K13" i="8" s="1"/>
  <c r="L13" i="8" s="1"/>
  <c r="L4" i="6" l="1"/>
  <c r="I4" i="6"/>
  <c r="F4" i="6"/>
  <c r="I2" i="6"/>
  <c r="L2" i="6"/>
  <c r="F2" i="6"/>
  <c r="O2" i="4"/>
  <c r="I2" i="4"/>
  <c r="L2" i="4"/>
</calcChain>
</file>

<file path=xl/sharedStrings.xml><?xml version="1.0" encoding="utf-8"?>
<sst xmlns="http://schemas.openxmlformats.org/spreadsheetml/2006/main" count="211" uniqueCount="83">
  <si>
    <t>Lowest Cost ($/kWh)</t>
  </si>
  <si>
    <t>Highest Cost ($/kWh)</t>
  </si>
  <si>
    <t>Battery Bank NMC</t>
  </si>
  <si>
    <t>NMC</t>
  </si>
  <si>
    <t>LFP</t>
  </si>
  <si>
    <t>LTO</t>
  </si>
  <si>
    <t>Average Cost ($/kWh)</t>
  </si>
  <si>
    <t>Capacity (kWh)</t>
  </si>
  <si>
    <t>Total Cost ($)</t>
  </si>
  <si>
    <t>DC/DC Converters</t>
  </si>
  <si>
    <t>Units</t>
  </si>
  <si>
    <t>Nominal Power per unit (kW)</t>
  </si>
  <si>
    <t>Inverters and Drives</t>
  </si>
  <si>
    <t>Inverter</t>
  </si>
  <si>
    <t>Drive</t>
  </si>
  <si>
    <t>Main Genset</t>
  </si>
  <si>
    <t>Electric Motors</t>
  </si>
  <si>
    <t>Highest Cost ($/kW)</t>
  </si>
  <si>
    <t>Average Cost ($/kW)</t>
  </si>
  <si>
    <t>Lowest Cost ($/kW)</t>
  </si>
  <si>
    <t>Integration/Cabling/Equipment</t>
  </si>
  <si>
    <t>Fire/Safety Systems</t>
  </si>
  <si>
    <t>Lowest Cost ($)</t>
  </si>
  <si>
    <t>Highest Cost ($)</t>
  </si>
  <si>
    <t>Average Cost ($)</t>
  </si>
  <si>
    <t>Batt Bank</t>
  </si>
  <si>
    <t>DC/DC</t>
  </si>
  <si>
    <t>Inverters/Drives</t>
  </si>
  <si>
    <t>General Equipments/elements</t>
  </si>
  <si>
    <t>Fire security system</t>
  </si>
  <si>
    <t>Conventional Tug</t>
  </si>
  <si>
    <t>Fuel Cost ($/L)</t>
  </si>
  <si>
    <t>Total fuel cost ($/year)</t>
  </si>
  <si>
    <t>Electricity</t>
  </si>
  <si>
    <t>Engine Maintenance</t>
  </si>
  <si>
    <t>Battery Replacement</t>
  </si>
  <si>
    <t>Total OPEX</t>
  </si>
  <si>
    <t>OPEX Conventional Tug</t>
  </si>
  <si>
    <t>OPEX Hybrid Tug</t>
  </si>
  <si>
    <t>Yearly profit</t>
  </si>
  <si>
    <t>Lifespan</t>
  </si>
  <si>
    <t>Discount Rate (%)</t>
  </si>
  <si>
    <t>Years</t>
  </si>
  <si>
    <t>VAN NMC</t>
  </si>
  <si>
    <t>CAPEX NMC</t>
  </si>
  <si>
    <t>CAPEX LFP</t>
  </si>
  <si>
    <t>CAPEX LTO</t>
  </si>
  <si>
    <t>VAN LFP</t>
  </si>
  <si>
    <t>VAN LTO</t>
  </si>
  <si>
    <t>TIR NMC</t>
  </si>
  <si>
    <t>NMC Batt Bank</t>
  </si>
  <si>
    <t>LFP Batt Bank</t>
  </si>
  <si>
    <t>LTO Batt Bank</t>
  </si>
  <si>
    <t>TIR LFP</t>
  </si>
  <si>
    <t>TIR LTO</t>
  </si>
  <si>
    <t>ROI NMC</t>
  </si>
  <si>
    <t>ROI LFP</t>
  </si>
  <si>
    <t>ROI LTO</t>
  </si>
  <si>
    <t>Carbon Tax ($50/ton)</t>
  </si>
  <si>
    <t>Goverment grants (20%-40%)</t>
  </si>
  <si>
    <t>Costo Total</t>
  </si>
  <si>
    <t>Costo Bruto</t>
  </si>
  <si>
    <t>Percentage of the cost subsidized by the government</t>
  </si>
  <si>
    <t>Cost NMC</t>
  </si>
  <si>
    <t>Cost LFP</t>
  </si>
  <si>
    <t>Cost LTO</t>
  </si>
  <si>
    <t>20 años</t>
  </si>
  <si>
    <t>10 años</t>
  </si>
  <si>
    <t>15 años</t>
  </si>
  <si>
    <t>Engineering</t>
  </si>
  <si>
    <t>Battery Maintenance</t>
  </si>
  <si>
    <t>Lowest annual fuel consumption (L)</t>
  </si>
  <si>
    <t>Highest annual fuel consumption (L)</t>
  </si>
  <si>
    <t>Average annual fuel consumption (L)</t>
  </si>
  <si>
    <t>Lowest annual CO2 emissions generated (t)</t>
  </si>
  <si>
    <t>Highest annual CO2 emissions generated (t)</t>
  </si>
  <si>
    <t>Average annual CO2 emissions generated (t)</t>
  </si>
  <si>
    <t>Hybrid Tug - NMC</t>
  </si>
  <si>
    <t>Hybrid Tug - LFP</t>
  </si>
  <si>
    <t>Hybrid Tug - LTO</t>
  </si>
  <si>
    <t>Annual Profit NMC ($)</t>
  </si>
  <si>
    <t>Annual Profit LFP ($)</t>
  </si>
  <si>
    <t>Annual Profit LTO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</si>
</sst>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* #,##0.00_-;\-* #,##0.00_-;_-* &quot;-&quot;??_-;_-@_-"/>
    <numFmt numFmtId="165" formatCode="_ &quot;$&quot;* #,##0.0_ ;_ &quot;$&quot;* \-#,##0.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2" fontId="0" fillId="0" borderId="0" xfId="1" applyFont="1"/>
    <xf numFmtId="0" fontId="2" fillId="0" borderId="0" xfId="0" applyFont="1" applyAlignment="1">
      <alignment horizontal="center"/>
    </xf>
    <xf numFmtId="0" fontId="2" fillId="0" borderId="0" xfId="0" applyFont="1"/>
    <xf numFmtId="42" fontId="2" fillId="0" borderId="0" xfId="1" applyFont="1"/>
    <xf numFmtId="42" fontId="0" fillId="0" borderId="0" xfId="0" applyNumberFormat="1"/>
    <xf numFmtId="1" fontId="0" fillId="0" borderId="0" xfId="0" applyNumberFormat="1"/>
    <xf numFmtId="165" fontId="0" fillId="0" borderId="0" xfId="1" applyNumberFormat="1" applyFont="1" applyAlignment="1"/>
    <xf numFmtId="42" fontId="2" fillId="0" borderId="0" xfId="0" applyNumberFormat="1" applyFont="1"/>
    <xf numFmtId="42" fontId="2" fillId="0" borderId="0" xfId="0" applyNumberFormat="1" applyFont="1" applyAlignment="1">
      <alignment horizontal="center"/>
    </xf>
    <xf numFmtId="9" fontId="0" fillId="0" borderId="0" xfId="2" applyFont="1"/>
    <xf numFmtId="10" fontId="2" fillId="0" borderId="0" xfId="0" applyNumberFormat="1" applyFont="1"/>
    <xf numFmtId="2" fontId="2" fillId="0" borderId="0" xfId="1" applyNumberFormat="1" applyFont="1"/>
    <xf numFmtId="42" fontId="0" fillId="2" borderId="0" xfId="0" applyNumberFormat="1" applyFill="1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4D7A-AB81-456B-B0DB-733EF237E819}">
  <dimension ref="B3:H26"/>
  <sheetViews>
    <sheetView workbookViewId="0">
      <selection activeCell="I5" sqref="I5"/>
    </sheetView>
  </sheetViews>
  <sheetFormatPr baseColWidth="10" defaultRowHeight="14.5" x14ac:dyDescent="0.35"/>
  <cols>
    <col min="2" max="2" width="12.81640625" bestFit="1" customWidth="1"/>
    <col min="3" max="4" width="23.7265625" bestFit="1" customWidth="1"/>
    <col min="5" max="5" width="18.1796875" bestFit="1" customWidth="1"/>
    <col min="6" max="7" width="18.453125" bestFit="1" customWidth="1"/>
    <col min="8" max="8" width="11.54296875" bestFit="1" customWidth="1"/>
  </cols>
  <sheetData>
    <row r="3" spans="2:8" x14ac:dyDescent="0.35">
      <c r="B3" s="18" t="s">
        <v>2</v>
      </c>
      <c r="C3" s="18"/>
      <c r="D3" s="18"/>
      <c r="E3" s="18"/>
      <c r="F3" s="18"/>
      <c r="G3" s="18"/>
    </row>
    <row r="4" spans="2:8" x14ac:dyDescent="0.35">
      <c r="C4" t="s">
        <v>7</v>
      </c>
      <c r="D4" t="s">
        <v>0</v>
      </c>
      <c r="E4" t="s">
        <v>1</v>
      </c>
      <c r="F4" t="s">
        <v>6</v>
      </c>
      <c r="G4" s="3" t="s">
        <v>8</v>
      </c>
    </row>
    <row r="5" spans="2:8" x14ac:dyDescent="0.35">
      <c r="B5" t="s">
        <v>3</v>
      </c>
      <c r="C5">
        <v>6300</v>
      </c>
      <c r="D5">
        <v>600</v>
      </c>
      <c r="E5">
        <v>1000</v>
      </c>
      <c r="F5">
        <f>(D5+E5)/2</f>
        <v>800</v>
      </c>
      <c r="G5" s="4">
        <f>F5*C5</f>
        <v>5040000</v>
      </c>
    </row>
    <row r="6" spans="2:8" x14ac:dyDescent="0.35">
      <c r="B6" t="s">
        <v>4</v>
      </c>
      <c r="C6">
        <v>6300</v>
      </c>
      <c r="D6">
        <v>300</v>
      </c>
      <c r="E6">
        <v>600</v>
      </c>
      <c r="F6">
        <f t="shared" ref="F6:F7" si="0">(D6+E6)/2</f>
        <v>450</v>
      </c>
      <c r="G6" s="4">
        <f t="shared" ref="G6:G7" si="1">F6*C6</f>
        <v>2835000</v>
      </c>
    </row>
    <row r="7" spans="2:8" x14ac:dyDescent="0.35">
      <c r="B7" t="s">
        <v>5</v>
      </c>
      <c r="C7">
        <v>6300</v>
      </c>
      <c r="D7">
        <v>800</v>
      </c>
      <c r="E7">
        <v>1200</v>
      </c>
      <c r="F7">
        <f t="shared" si="0"/>
        <v>1000</v>
      </c>
      <c r="G7" s="4">
        <f t="shared" si="1"/>
        <v>6300000</v>
      </c>
    </row>
    <row r="8" spans="2:8" x14ac:dyDescent="0.35">
      <c r="B8" s="18" t="s">
        <v>9</v>
      </c>
      <c r="C8" s="18"/>
      <c r="D8" s="18"/>
      <c r="E8" s="18"/>
      <c r="F8" s="18"/>
      <c r="G8" s="18"/>
    </row>
    <row r="9" spans="2:8" x14ac:dyDescent="0.35">
      <c r="B9" t="s">
        <v>10</v>
      </c>
      <c r="C9" t="s">
        <v>11</v>
      </c>
      <c r="D9" t="s">
        <v>19</v>
      </c>
      <c r="E9" t="s">
        <v>17</v>
      </c>
      <c r="F9" t="s">
        <v>18</v>
      </c>
      <c r="G9" s="3" t="s">
        <v>8</v>
      </c>
    </row>
    <row r="10" spans="2:8" x14ac:dyDescent="0.35">
      <c r="B10">
        <v>4</v>
      </c>
      <c r="C10">
        <v>250</v>
      </c>
      <c r="D10">
        <v>100</v>
      </c>
      <c r="E10">
        <v>400</v>
      </c>
      <c r="F10">
        <f>(D10+E10)/2</f>
        <v>250</v>
      </c>
      <c r="G10" s="4">
        <f>B10*C10*F10</f>
        <v>250000</v>
      </c>
    </row>
    <row r="11" spans="2:8" x14ac:dyDescent="0.35">
      <c r="B11" s="18" t="s">
        <v>12</v>
      </c>
      <c r="C11" s="18"/>
      <c r="D11" s="18"/>
      <c r="E11" s="18"/>
      <c r="F11" s="18"/>
      <c r="G11" s="18"/>
    </row>
    <row r="12" spans="2:8" x14ac:dyDescent="0.35">
      <c r="C12" t="s">
        <v>10</v>
      </c>
      <c r="D12" t="s">
        <v>11</v>
      </c>
      <c r="E12" t="s">
        <v>19</v>
      </c>
      <c r="F12" t="s">
        <v>17</v>
      </c>
      <c r="G12" t="s">
        <v>18</v>
      </c>
      <c r="H12" s="3" t="s">
        <v>8</v>
      </c>
    </row>
    <row r="13" spans="2:8" x14ac:dyDescent="0.35">
      <c r="B13" t="s">
        <v>13</v>
      </c>
      <c r="C13">
        <v>2</v>
      </c>
      <c r="D13">
        <v>500</v>
      </c>
      <c r="E13">
        <v>250</v>
      </c>
      <c r="F13">
        <v>450</v>
      </c>
      <c r="G13">
        <f>(E13+F13)/2</f>
        <v>350</v>
      </c>
      <c r="H13" s="4">
        <f>C13*D13*G13</f>
        <v>350000</v>
      </c>
    </row>
    <row r="14" spans="2:8" x14ac:dyDescent="0.35">
      <c r="B14" t="s">
        <v>14</v>
      </c>
      <c r="C14">
        <v>2</v>
      </c>
      <c r="D14">
        <v>1000</v>
      </c>
      <c r="E14">
        <v>120</v>
      </c>
      <c r="F14">
        <v>250</v>
      </c>
      <c r="G14">
        <f>(E14+F14)/2</f>
        <v>185</v>
      </c>
      <c r="H14" s="4">
        <f>C14*D14*G14</f>
        <v>370000</v>
      </c>
    </row>
    <row r="15" spans="2:8" x14ac:dyDescent="0.35">
      <c r="B15" s="18" t="s">
        <v>15</v>
      </c>
      <c r="C15" s="18"/>
      <c r="D15" s="18"/>
      <c r="E15" s="18"/>
      <c r="F15" s="18"/>
      <c r="G15" s="18"/>
      <c r="H15" s="3"/>
    </row>
    <row r="16" spans="2:8" x14ac:dyDescent="0.35">
      <c r="C16" t="s">
        <v>10</v>
      </c>
      <c r="D16" t="s">
        <v>11</v>
      </c>
      <c r="E16" t="s">
        <v>19</v>
      </c>
      <c r="F16" t="s">
        <v>17</v>
      </c>
      <c r="G16" t="s">
        <v>18</v>
      </c>
      <c r="H16" s="3" t="s">
        <v>8</v>
      </c>
    </row>
    <row r="17" spans="2:8" x14ac:dyDescent="0.35">
      <c r="C17">
        <v>1</v>
      </c>
      <c r="D17">
        <v>2000</v>
      </c>
      <c r="E17">
        <v>75</v>
      </c>
      <c r="F17">
        <v>750</v>
      </c>
      <c r="G17">
        <f>(E17+F17)/2</f>
        <v>412.5</v>
      </c>
      <c r="H17" s="4">
        <f>C17*D17*G17</f>
        <v>825000</v>
      </c>
    </row>
    <row r="18" spans="2:8" x14ac:dyDescent="0.35">
      <c r="B18" s="18" t="s">
        <v>16</v>
      </c>
      <c r="C18" s="18"/>
      <c r="D18" s="18"/>
      <c r="E18" s="18"/>
      <c r="F18" s="18"/>
      <c r="G18" s="18"/>
    </row>
    <row r="19" spans="2:8" x14ac:dyDescent="0.35">
      <c r="C19" t="s">
        <v>10</v>
      </c>
      <c r="D19" t="s">
        <v>11</v>
      </c>
      <c r="E19" t="s">
        <v>19</v>
      </c>
      <c r="F19" t="s">
        <v>17</v>
      </c>
      <c r="G19" t="s">
        <v>18</v>
      </c>
      <c r="H19" s="3" t="s">
        <v>8</v>
      </c>
    </row>
    <row r="20" spans="2:8" x14ac:dyDescent="0.35">
      <c r="B20" t="s">
        <v>16</v>
      </c>
      <c r="C20">
        <v>2</v>
      </c>
      <c r="D20">
        <v>1000</v>
      </c>
      <c r="E20">
        <v>90</v>
      </c>
      <c r="F20">
        <v>250</v>
      </c>
      <c r="G20">
        <f>(E20+F20)/2</f>
        <v>170</v>
      </c>
      <c r="H20" s="4">
        <f>C20*D20*G20</f>
        <v>340000</v>
      </c>
    </row>
    <row r="21" spans="2:8" x14ac:dyDescent="0.35">
      <c r="B21" s="18" t="s">
        <v>20</v>
      </c>
      <c r="C21" s="18"/>
      <c r="D21" s="18"/>
      <c r="E21" s="18"/>
      <c r="F21" s="18"/>
      <c r="G21" s="18"/>
    </row>
    <row r="22" spans="2:8" x14ac:dyDescent="0.35">
      <c r="E22" t="s">
        <v>22</v>
      </c>
      <c r="F22" t="s">
        <v>23</v>
      </c>
      <c r="G22" t="s">
        <v>24</v>
      </c>
      <c r="H22" s="3" t="s">
        <v>8</v>
      </c>
    </row>
    <row r="23" spans="2:8" x14ac:dyDescent="0.35">
      <c r="E23" s="1">
        <v>100000</v>
      </c>
      <c r="F23" s="1">
        <v>175000</v>
      </c>
      <c r="G23" s="1">
        <f>(E23+F23)/2</f>
        <v>137500</v>
      </c>
      <c r="H23" s="4">
        <f>G23</f>
        <v>137500</v>
      </c>
    </row>
    <row r="24" spans="2:8" x14ac:dyDescent="0.35">
      <c r="B24" s="18" t="s">
        <v>21</v>
      </c>
      <c r="C24" s="18"/>
      <c r="D24" s="18"/>
      <c r="E24" s="18"/>
      <c r="F24" s="18"/>
      <c r="G24" s="18"/>
    </row>
    <row r="25" spans="2:8" x14ac:dyDescent="0.35">
      <c r="E25" t="s">
        <v>22</v>
      </c>
      <c r="F25" t="s">
        <v>23</v>
      </c>
      <c r="G25" t="s">
        <v>24</v>
      </c>
      <c r="H25" s="3" t="s">
        <v>8</v>
      </c>
    </row>
    <row r="26" spans="2:8" x14ac:dyDescent="0.35">
      <c r="E26" s="1">
        <v>50000</v>
      </c>
      <c r="F26" s="1">
        <v>80000</v>
      </c>
      <c r="G26" s="1">
        <f>(E26+F26)/2</f>
        <v>65000</v>
      </c>
      <c r="H26" s="4">
        <f>G26</f>
        <v>65000</v>
      </c>
    </row>
  </sheetData>
  <mergeCells count="7">
    <mergeCell ref="B18:G18"/>
    <mergeCell ref="B21:G21"/>
    <mergeCell ref="B24:G24"/>
    <mergeCell ref="B3:G3"/>
    <mergeCell ref="B8:G8"/>
    <mergeCell ref="B11:G11"/>
    <mergeCell ref="B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CAA-C5C8-4FF3-BA68-5F71D3D769DB}">
  <dimension ref="B3:I17"/>
  <sheetViews>
    <sheetView workbookViewId="0">
      <selection activeCell="C18" sqref="C18"/>
    </sheetView>
  </sheetViews>
  <sheetFormatPr baseColWidth="10" defaultRowHeight="14.5" x14ac:dyDescent="0.35"/>
  <cols>
    <col min="2" max="2" width="43.453125" bestFit="1" customWidth="1"/>
    <col min="3" max="3" width="12.1796875" bestFit="1" customWidth="1"/>
    <col min="5" max="5" width="25.453125" bestFit="1" customWidth="1"/>
    <col min="6" max="6" width="12.1796875" bestFit="1" customWidth="1"/>
    <col min="8" max="8" width="25.453125" bestFit="1" customWidth="1"/>
    <col min="9" max="9" width="12.1796875" bestFit="1" customWidth="1"/>
  </cols>
  <sheetData>
    <row r="3" spans="2:9" x14ac:dyDescent="0.35">
      <c r="B3" s="18" t="s">
        <v>3</v>
      </c>
      <c r="C3" s="18"/>
      <c r="E3" s="18" t="s">
        <v>4</v>
      </c>
      <c r="F3" s="18"/>
      <c r="H3" s="18" t="s">
        <v>5</v>
      </c>
      <c r="I3" s="18"/>
    </row>
    <row r="4" spans="2:9" x14ac:dyDescent="0.35">
      <c r="B4" t="s">
        <v>25</v>
      </c>
      <c r="C4" s="5">
        <f>'Costs 25%'!G5</f>
        <v>5040000</v>
      </c>
      <c r="E4" t="s">
        <v>25</v>
      </c>
      <c r="F4" s="5">
        <f>'Costs 25%'!G6</f>
        <v>2835000</v>
      </c>
      <c r="H4" t="s">
        <v>25</v>
      </c>
      <c r="I4" s="5">
        <f>'Costs 25%'!G7</f>
        <v>6300000</v>
      </c>
    </row>
    <row r="5" spans="2:9" x14ac:dyDescent="0.35">
      <c r="B5" t="s">
        <v>26</v>
      </c>
      <c r="C5" s="5">
        <f>'Costs 25%'!$G$10</f>
        <v>250000</v>
      </c>
      <c r="E5" t="s">
        <v>26</v>
      </c>
      <c r="F5" s="5">
        <f>'Costs 25%'!$G$10</f>
        <v>250000</v>
      </c>
      <c r="H5" t="s">
        <v>26</v>
      </c>
      <c r="I5" s="5">
        <f>'Costs 25%'!$G$10</f>
        <v>250000</v>
      </c>
    </row>
    <row r="6" spans="2:9" x14ac:dyDescent="0.35">
      <c r="B6" t="s">
        <v>27</v>
      </c>
      <c r="C6" s="5">
        <f>'Costs 25%'!$H$13+'Costs 25%'!$H$14</f>
        <v>720000</v>
      </c>
      <c r="E6" t="s">
        <v>27</v>
      </c>
      <c r="F6" s="5">
        <f>'Costs 25%'!$H$13+'Costs 25%'!$H$14</f>
        <v>720000</v>
      </c>
      <c r="H6" t="s">
        <v>27</v>
      </c>
      <c r="I6" s="5">
        <f>'Costs 25%'!$H$13+'Costs 25%'!$H$14</f>
        <v>720000</v>
      </c>
    </row>
    <row r="7" spans="2:9" x14ac:dyDescent="0.35">
      <c r="B7" t="s">
        <v>15</v>
      </c>
      <c r="C7" s="5">
        <f>'Costs 25%'!$H$17</f>
        <v>825000</v>
      </c>
      <c r="E7" t="s">
        <v>15</v>
      </c>
      <c r="F7" s="5">
        <f>'Costs 25%'!$H$17</f>
        <v>825000</v>
      </c>
      <c r="H7" t="s">
        <v>15</v>
      </c>
      <c r="I7" s="5">
        <f>'Costs 25%'!$H$17</f>
        <v>825000</v>
      </c>
    </row>
    <row r="8" spans="2:9" x14ac:dyDescent="0.35">
      <c r="B8" t="s">
        <v>16</v>
      </c>
      <c r="C8" s="5">
        <f>'Costs 25%'!$H$20</f>
        <v>340000</v>
      </c>
      <c r="E8" t="s">
        <v>16</v>
      </c>
      <c r="F8" s="5">
        <f>'Costs 25%'!$H$20</f>
        <v>340000</v>
      </c>
      <c r="H8" t="s">
        <v>16</v>
      </c>
      <c r="I8" s="5">
        <f>'Costs 25%'!$H$20</f>
        <v>340000</v>
      </c>
    </row>
    <row r="9" spans="2:9" x14ac:dyDescent="0.35">
      <c r="B9" t="s">
        <v>28</v>
      </c>
      <c r="C9" s="5">
        <f>'Costs 25%'!$H$23</f>
        <v>137500</v>
      </c>
      <c r="E9" t="s">
        <v>28</v>
      </c>
      <c r="F9" s="5">
        <f>'Costs 25%'!$H$23</f>
        <v>137500</v>
      </c>
      <c r="H9" t="s">
        <v>28</v>
      </c>
      <c r="I9" s="5">
        <f>'Costs 25%'!$H$23</f>
        <v>137500</v>
      </c>
    </row>
    <row r="10" spans="2:9" x14ac:dyDescent="0.35">
      <c r="B10" t="s">
        <v>29</v>
      </c>
      <c r="C10" s="5">
        <f>'Costs 25%'!$H$26</f>
        <v>65000</v>
      </c>
      <c r="E10" t="s">
        <v>29</v>
      </c>
      <c r="F10" s="5">
        <f>'Costs 25%'!$H$26</f>
        <v>65000</v>
      </c>
      <c r="H10" t="s">
        <v>29</v>
      </c>
      <c r="I10" s="5">
        <f>'Costs 25%'!$H$26</f>
        <v>65000</v>
      </c>
    </row>
    <row r="11" spans="2:9" x14ac:dyDescent="0.35">
      <c r="B11" s="3" t="s">
        <v>61</v>
      </c>
      <c r="C11" s="8">
        <f>SUM(C4:C10)</f>
        <v>7377500</v>
      </c>
      <c r="E11" s="3" t="s">
        <v>61</v>
      </c>
      <c r="F11" s="8">
        <f>SUM(F4:F10)</f>
        <v>5172500</v>
      </c>
      <c r="H11" s="3" t="s">
        <v>61</v>
      </c>
      <c r="I11" s="8">
        <f>SUM(I4:I10)</f>
        <v>8637500</v>
      </c>
    </row>
    <row r="12" spans="2:9" x14ac:dyDescent="0.35">
      <c r="B12" t="s">
        <v>69</v>
      </c>
      <c r="C12" s="16">
        <f>C11*0.035</f>
        <v>258212.50000000003</v>
      </c>
      <c r="E12" t="s">
        <v>69</v>
      </c>
      <c r="F12" s="16">
        <f>F11*0.035</f>
        <v>181037.50000000003</v>
      </c>
      <c r="H12" t="s">
        <v>69</v>
      </c>
      <c r="I12" s="16">
        <f>I11*0.035</f>
        <v>302312.5</v>
      </c>
    </row>
    <row r="13" spans="2:9" x14ac:dyDescent="0.35">
      <c r="B13" s="14" t="s">
        <v>59</v>
      </c>
      <c r="C13" s="1">
        <f>C11*C17</f>
        <v>737750</v>
      </c>
      <c r="E13" s="14" t="s">
        <v>59</v>
      </c>
      <c r="F13" s="1">
        <f>F11*C17</f>
        <v>517250</v>
      </c>
      <c r="H13" s="14" t="s">
        <v>59</v>
      </c>
      <c r="I13" s="1">
        <f>I11*C17</f>
        <v>863750</v>
      </c>
    </row>
    <row r="14" spans="2:9" x14ac:dyDescent="0.35">
      <c r="B14" s="3" t="s">
        <v>60</v>
      </c>
      <c r="C14" s="8">
        <f>C11-C13+C12</f>
        <v>6897962.5</v>
      </c>
      <c r="E14" s="3" t="s">
        <v>60</v>
      </c>
      <c r="F14" s="8">
        <f>F11-F13+F12</f>
        <v>4836287.5</v>
      </c>
      <c r="H14" s="3" t="s">
        <v>60</v>
      </c>
      <c r="I14" s="8">
        <f>I11-I13+I12</f>
        <v>8076062.5</v>
      </c>
    </row>
    <row r="17" spans="2:3" x14ac:dyDescent="0.35">
      <c r="B17" s="14" t="s">
        <v>62</v>
      </c>
      <c r="C17" s="10">
        <v>0.1</v>
      </c>
    </row>
  </sheetData>
  <mergeCells count="3">
    <mergeCell ref="B3:C3"/>
    <mergeCell ref="E3:F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4CD5-5B27-45B4-BE42-4FE58799A9A6}">
  <dimension ref="B2:L19"/>
  <sheetViews>
    <sheetView topLeftCell="F1" workbookViewId="0">
      <selection activeCell="L15" sqref="L15"/>
    </sheetView>
  </sheetViews>
  <sheetFormatPr baseColWidth="10" defaultRowHeight="14.5" x14ac:dyDescent="0.35"/>
  <cols>
    <col min="2" max="2" width="39.26953125" bestFit="1" customWidth="1"/>
    <col min="3" max="3" width="18.7265625" bestFit="1" customWidth="1"/>
    <col min="5" max="5" width="39.26953125" bestFit="1" customWidth="1"/>
    <col min="8" max="8" width="40.453125" bestFit="1" customWidth="1"/>
    <col min="11" max="11" width="40.453125" bestFit="1" customWidth="1"/>
  </cols>
  <sheetData>
    <row r="2" spans="2:12" x14ac:dyDescent="0.35">
      <c r="B2" s="18" t="s">
        <v>30</v>
      </c>
      <c r="C2" s="18"/>
      <c r="E2" s="18" t="s">
        <v>77</v>
      </c>
      <c r="F2" s="18"/>
      <c r="H2" s="18" t="s">
        <v>78</v>
      </c>
      <c r="I2" s="18"/>
      <c r="K2" s="18" t="s">
        <v>79</v>
      </c>
      <c r="L2" s="18"/>
    </row>
    <row r="3" spans="2:12" x14ac:dyDescent="0.35">
      <c r="B3" t="s">
        <v>71</v>
      </c>
      <c r="C3" s="6">
        <f>5366*365</f>
        <v>1958590</v>
      </c>
      <c r="E3" t="s">
        <v>71</v>
      </c>
      <c r="F3" s="6">
        <f>1929*365</f>
        <v>704085</v>
      </c>
      <c r="H3" t="s">
        <v>71</v>
      </c>
      <c r="I3" s="6">
        <f>1929*365</f>
        <v>704085</v>
      </c>
      <c r="K3" t="s">
        <v>71</v>
      </c>
      <c r="L3" s="6">
        <f>1929*365</f>
        <v>704085</v>
      </c>
    </row>
    <row r="4" spans="2:12" x14ac:dyDescent="0.35">
      <c r="B4" t="s">
        <v>72</v>
      </c>
      <c r="C4" s="6">
        <f>6385*365</f>
        <v>2330525</v>
      </c>
      <c r="E4" t="s">
        <v>72</v>
      </c>
      <c r="F4" s="6">
        <f>4030*365</f>
        <v>1470950</v>
      </c>
      <c r="H4" t="s">
        <v>72</v>
      </c>
      <c r="I4" s="6">
        <f>4030*365</f>
        <v>1470950</v>
      </c>
      <c r="K4" t="s">
        <v>72</v>
      </c>
      <c r="L4" s="6">
        <f>4030*365</f>
        <v>1470950</v>
      </c>
    </row>
    <row r="5" spans="2:12" x14ac:dyDescent="0.35">
      <c r="B5" t="s">
        <v>73</v>
      </c>
      <c r="C5" s="6">
        <f>(C3+C4)/2</f>
        <v>2144557.5</v>
      </c>
      <c r="E5" t="s">
        <v>73</v>
      </c>
      <c r="F5">
        <f>(F3+F4)/2</f>
        <v>1087517.5</v>
      </c>
      <c r="H5" t="s">
        <v>73</v>
      </c>
      <c r="I5">
        <f>(I3+I4)/2</f>
        <v>1087517.5</v>
      </c>
      <c r="K5" t="s">
        <v>73</v>
      </c>
      <c r="L5">
        <f>(L3+L4)/2</f>
        <v>1087517.5</v>
      </c>
    </row>
    <row r="6" spans="2:12" x14ac:dyDescent="0.35">
      <c r="B6" t="s">
        <v>74</v>
      </c>
      <c r="C6">
        <f>14.3*365</f>
        <v>5219.5</v>
      </c>
      <c r="E6" t="s">
        <v>74</v>
      </c>
      <c r="F6">
        <f>5.1*365</f>
        <v>1861.4999999999998</v>
      </c>
      <c r="H6" t="s">
        <v>74</v>
      </c>
      <c r="I6">
        <f>5.1*365</f>
        <v>1861.4999999999998</v>
      </c>
      <c r="K6" t="s">
        <v>74</v>
      </c>
      <c r="L6">
        <f>5.1*365</f>
        <v>1861.4999999999998</v>
      </c>
    </row>
    <row r="7" spans="2:12" x14ac:dyDescent="0.35">
      <c r="B7" t="s">
        <v>75</v>
      </c>
      <c r="C7">
        <f>17*365</f>
        <v>6205</v>
      </c>
      <c r="E7" t="s">
        <v>75</v>
      </c>
      <c r="F7">
        <f>10.8*365</f>
        <v>3942.0000000000005</v>
      </c>
      <c r="H7" t="s">
        <v>75</v>
      </c>
      <c r="I7">
        <f>10.8*365</f>
        <v>3942.0000000000005</v>
      </c>
      <c r="K7" t="s">
        <v>75</v>
      </c>
      <c r="L7">
        <f>10.8*365</f>
        <v>3942.0000000000005</v>
      </c>
    </row>
    <row r="8" spans="2:12" x14ac:dyDescent="0.35">
      <c r="B8" t="s">
        <v>76</v>
      </c>
      <c r="C8">
        <f>(C6+C7)/2</f>
        <v>5712.25</v>
      </c>
      <c r="E8" t="s">
        <v>76</v>
      </c>
      <c r="F8">
        <f>(F6+F7)/2</f>
        <v>2901.75</v>
      </c>
      <c r="H8" t="s">
        <v>76</v>
      </c>
      <c r="I8">
        <f>(I6+I7)/2</f>
        <v>2901.75</v>
      </c>
      <c r="K8" t="s">
        <v>76</v>
      </c>
      <c r="L8">
        <f>(L6+L7)/2</f>
        <v>2901.75</v>
      </c>
    </row>
    <row r="9" spans="2:12" x14ac:dyDescent="0.35">
      <c r="B9" t="s">
        <v>31</v>
      </c>
      <c r="C9" s="7">
        <f>0.8</f>
        <v>0.8</v>
      </c>
      <c r="E9" t="s">
        <v>31</v>
      </c>
      <c r="F9" s="7">
        <f>0.8</f>
        <v>0.8</v>
      </c>
      <c r="H9" t="s">
        <v>31</v>
      </c>
      <c r="I9" s="7">
        <f>0.8</f>
        <v>0.8</v>
      </c>
      <c r="K9" t="s">
        <v>31</v>
      </c>
      <c r="L9" s="7">
        <f>0.8</f>
        <v>0.8</v>
      </c>
    </row>
    <row r="10" spans="2:12" x14ac:dyDescent="0.35">
      <c r="B10" s="3" t="s">
        <v>32</v>
      </c>
      <c r="C10" s="4">
        <f>C5*C9</f>
        <v>1715646</v>
      </c>
      <c r="E10" s="3" t="s">
        <v>32</v>
      </c>
      <c r="F10" s="4">
        <f>F5*F9</f>
        <v>870014</v>
      </c>
      <c r="H10" s="3" t="s">
        <v>32</v>
      </c>
      <c r="I10" s="4">
        <f>I5*I9</f>
        <v>870014</v>
      </c>
      <c r="K10" s="3" t="s">
        <v>32</v>
      </c>
      <c r="L10" s="4">
        <f>L5*L9</f>
        <v>870014</v>
      </c>
    </row>
    <row r="11" spans="2:12" x14ac:dyDescent="0.35">
      <c r="B11" t="s">
        <v>33</v>
      </c>
      <c r="C11" s="1">
        <v>0</v>
      </c>
      <c r="E11" t="s">
        <v>33</v>
      </c>
      <c r="F11" s="1">
        <v>30000</v>
      </c>
      <c r="H11" t="s">
        <v>33</v>
      </c>
      <c r="I11" s="1">
        <v>30000</v>
      </c>
      <c r="K11" t="s">
        <v>33</v>
      </c>
      <c r="L11" s="1">
        <v>30000</v>
      </c>
    </row>
    <row r="12" spans="2:12" x14ac:dyDescent="0.35">
      <c r="B12" t="s">
        <v>34</v>
      </c>
      <c r="C12" s="1">
        <v>40000</v>
      </c>
      <c r="E12" t="s">
        <v>34</v>
      </c>
      <c r="F12" s="1">
        <v>20000</v>
      </c>
      <c r="H12" t="s">
        <v>34</v>
      </c>
      <c r="I12" s="1">
        <v>20000</v>
      </c>
      <c r="K12" t="s">
        <v>34</v>
      </c>
      <c r="L12" s="1">
        <v>20000</v>
      </c>
    </row>
    <row r="13" spans="2:12" x14ac:dyDescent="0.35">
      <c r="B13" t="s">
        <v>35</v>
      </c>
      <c r="C13" s="1">
        <v>0</v>
      </c>
      <c r="E13" t="s">
        <v>70</v>
      </c>
      <c r="F13" s="1">
        <f>'Costs 25%'!G5/15</f>
        <v>336000</v>
      </c>
      <c r="H13" t="s">
        <v>70</v>
      </c>
      <c r="I13" s="1">
        <f>'Costs 25%'!G6/15</f>
        <v>189000</v>
      </c>
      <c r="K13" t="s">
        <v>70</v>
      </c>
      <c r="L13" s="1"/>
    </row>
    <row r="14" spans="2:12" x14ac:dyDescent="0.35">
      <c r="B14" s="15" t="s">
        <v>58</v>
      </c>
      <c r="C14" s="1">
        <f>50*C8</f>
        <v>285612.5</v>
      </c>
      <c r="E14" s="15" t="s">
        <v>58</v>
      </c>
      <c r="F14" s="1">
        <f>50*F8</f>
        <v>145087.5</v>
      </c>
      <c r="H14" s="15" t="s">
        <v>58</v>
      </c>
      <c r="I14" s="1">
        <f>50*I8</f>
        <v>145087.5</v>
      </c>
      <c r="K14" s="15" t="s">
        <v>58</v>
      </c>
      <c r="L14" s="1">
        <f>50*L8</f>
        <v>145087.5</v>
      </c>
    </row>
    <row r="15" spans="2:12" x14ac:dyDescent="0.35">
      <c r="B15" s="2" t="s">
        <v>36</v>
      </c>
      <c r="C15" s="9">
        <f>SUM(C10:C14)</f>
        <v>2041258.5</v>
      </c>
      <c r="E15" s="2" t="s">
        <v>36</v>
      </c>
      <c r="F15" s="9">
        <f>SUM(F10:F14)</f>
        <v>1401101.5</v>
      </c>
      <c r="H15" s="2" t="s">
        <v>36</v>
      </c>
      <c r="I15" s="9">
        <f>SUM(I10:I14)</f>
        <v>1254101.5</v>
      </c>
      <c r="K15" s="2" t="s">
        <v>36</v>
      </c>
      <c r="L15" s="9">
        <f>SUM(L10:L14)</f>
        <v>1065101.5</v>
      </c>
    </row>
    <row r="17" spans="5:12" x14ac:dyDescent="0.35">
      <c r="E17" t="s">
        <v>37</v>
      </c>
      <c r="F17" s="5">
        <f>C15</f>
        <v>2041258.5</v>
      </c>
      <c r="H17" t="s">
        <v>37</v>
      </c>
      <c r="I17" s="5">
        <f>C15</f>
        <v>2041258.5</v>
      </c>
      <c r="K17" t="s">
        <v>37</v>
      </c>
      <c r="L17" s="5">
        <f>C15</f>
        <v>2041258.5</v>
      </c>
    </row>
    <row r="18" spans="5:12" x14ac:dyDescent="0.35">
      <c r="E18" t="s">
        <v>38</v>
      </c>
      <c r="F18" s="5">
        <f>F15</f>
        <v>1401101.5</v>
      </c>
      <c r="H18" t="s">
        <v>38</v>
      </c>
      <c r="I18" s="5">
        <f>I15</f>
        <v>1254101.5</v>
      </c>
      <c r="K18" t="s">
        <v>38</v>
      </c>
      <c r="L18" s="5">
        <f>L15</f>
        <v>1065101.5</v>
      </c>
    </row>
    <row r="19" spans="5:12" x14ac:dyDescent="0.35">
      <c r="E19" s="3" t="s">
        <v>39</v>
      </c>
      <c r="F19" s="8">
        <f>F17-F18</f>
        <v>640157</v>
      </c>
      <c r="H19" s="3" t="s">
        <v>39</v>
      </c>
      <c r="I19" s="8">
        <f>I17-I18</f>
        <v>787157</v>
      </c>
      <c r="K19" s="3" t="s">
        <v>39</v>
      </c>
      <c r="L19" s="8">
        <f>L17-L18</f>
        <v>976157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8CD0-5187-4E9B-AB88-218957DBEFDE}">
  <dimension ref="B1:O16"/>
  <sheetViews>
    <sheetView tabSelected="1" topLeftCell="B1" workbookViewId="0">
      <selection activeCell="P7" sqref="P7"/>
    </sheetView>
  </sheetViews>
  <sheetFormatPr baseColWidth="10" defaultRowHeight="14.5" x14ac:dyDescent="0.35"/>
  <cols>
    <col min="2" max="2" width="20" bestFit="1" customWidth="1"/>
    <col min="9" max="9" width="11.7265625" bestFit="1" customWidth="1"/>
    <col min="11" max="11" width="11.54296875" bestFit="1" customWidth="1"/>
    <col min="12" max="12" width="11.7265625" bestFit="1" customWidth="1"/>
    <col min="14" max="14" width="8.6328125" bestFit="1" customWidth="1"/>
    <col min="15" max="15" width="11.26953125" bestFit="1" customWidth="1"/>
  </cols>
  <sheetData>
    <row r="1" spans="2:15" x14ac:dyDescent="0.35">
      <c r="H1" s="18" t="s">
        <v>67</v>
      </c>
      <c r="I1" s="18"/>
      <c r="K1" s="18" t="s">
        <v>68</v>
      </c>
      <c r="L1" s="18"/>
      <c r="N1" s="18" t="s">
        <v>66</v>
      </c>
      <c r="O1" s="18"/>
    </row>
    <row r="2" spans="2:15" x14ac:dyDescent="0.35">
      <c r="B2" t="s">
        <v>40</v>
      </c>
      <c r="C2">
        <v>20</v>
      </c>
      <c r="E2" t="s">
        <v>44</v>
      </c>
      <c r="F2" s="5">
        <f>'CAPEX 25%'!C14</f>
        <v>6897962.5</v>
      </c>
      <c r="H2" s="3" t="s">
        <v>43</v>
      </c>
      <c r="I2" s="8">
        <f>SUM($C$9:$L$9)-F2</f>
        <v>-2602456.9218978435</v>
      </c>
      <c r="K2" s="3" t="s">
        <v>43</v>
      </c>
      <c r="L2" s="8">
        <f>SUM($C$9:$L$9)+SUM($C$14:$G$14)-F2</f>
        <v>-1418552.3015731201</v>
      </c>
      <c r="N2" s="3" t="s">
        <v>43</v>
      </c>
      <c r="O2" s="8">
        <f>SUM($C$9:$L$9)+SUM($C$14:$L$14)-F2</f>
        <v>-612806.71008948795</v>
      </c>
    </row>
    <row r="3" spans="2:15" x14ac:dyDescent="0.35">
      <c r="B3" t="s">
        <v>41</v>
      </c>
      <c r="C3" s="10">
        <v>0.08</v>
      </c>
      <c r="E3" t="s">
        <v>45</v>
      </c>
      <c r="F3" s="5">
        <f>'CAPEX 25%'!F14</f>
        <v>4836287.5</v>
      </c>
      <c r="H3" s="3" t="s">
        <v>47</v>
      </c>
      <c r="I3" s="8">
        <f>SUM($C$10:$L$10)-F3</f>
        <v>445600.0437465487</v>
      </c>
      <c r="K3" s="3" t="s">
        <v>47</v>
      </c>
      <c r="L3" s="8">
        <f>SUM($C$10:$L$10)+SUM($C$15:$G$15)-F3</f>
        <v>1901366.0655520568</v>
      </c>
      <c r="N3" s="3" t="s">
        <v>47</v>
      </c>
      <c r="O3" s="8">
        <f>SUM($C$10:$L$10)+SUM($C$15:$L$15)-F3</f>
        <v>2892135.9588055573</v>
      </c>
    </row>
    <row r="4" spans="2:15" x14ac:dyDescent="0.35">
      <c r="B4" t="s">
        <v>80</v>
      </c>
      <c r="C4" s="5">
        <f>'OPEX 25%'!F19</f>
        <v>640157</v>
      </c>
      <c r="E4" t="s">
        <v>46</v>
      </c>
      <c r="F4" s="5">
        <f>'CAPEX 25%'!I14</f>
        <v>8076062.5</v>
      </c>
      <c r="H4" s="3" t="s">
        <v>48</v>
      </c>
      <c r="I4" s="8">
        <f>SUM($C$11:$L$11)-F4</f>
        <v>-929144.73686537147</v>
      </c>
      <c r="K4" s="3" t="s">
        <v>48</v>
      </c>
      <c r="L4" s="8">
        <f>SUM($C$11:$L$11)+SUM($C$16:$G$16)-F4</f>
        <v>1040651.0897284076</v>
      </c>
      <c r="N4" s="3" t="s">
        <v>48</v>
      </c>
      <c r="O4" s="8">
        <f>SUM($C$11:$L$11)+SUM($C$16:$L$16)-F4</f>
        <v>2381261.0308953468</v>
      </c>
    </row>
    <row r="5" spans="2:15" x14ac:dyDescent="0.35">
      <c r="B5" t="s">
        <v>81</v>
      </c>
      <c r="C5" s="5">
        <f>'OPEX 25%'!I19</f>
        <v>787157</v>
      </c>
    </row>
    <row r="6" spans="2:15" x14ac:dyDescent="0.35">
      <c r="B6" t="s">
        <v>82</v>
      </c>
      <c r="C6" s="5">
        <f>'OPEX 25%'!L15</f>
        <v>1065101.5</v>
      </c>
    </row>
    <row r="7" spans="2:15" x14ac:dyDescent="0.35">
      <c r="C7" s="18" t="s">
        <v>42</v>
      </c>
      <c r="D7" s="18"/>
      <c r="E7" s="18"/>
      <c r="F7" s="18"/>
      <c r="G7" s="18"/>
      <c r="H7" s="18"/>
      <c r="I7" s="18"/>
      <c r="J7" s="18"/>
      <c r="K7" s="18"/>
      <c r="L7" s="18"/>
    </row>
    <row r="8" spans="2:15" x14ac:dyDescent="0.35"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</row>
    <row r="9" spans="2:15" x14ac:dyDescent="0.35">
      <c r="B9" s="17" t="s">
        <v>3</v>
      </c>
      <c r="C9" s="5">
        <f>$C$4/((1+$C$3)^C8)</f>
        <v>592737.96296296292</v>
      </c>
      <c r="D9" s="5">
        <f t="shared" ref="D9:L9" si="0">$C$4/((1+$C$3)^D8)</f>
        <v>548831.4471879286</v>
      </c>
      <c r="E9" s="5">
        <f t="shared" si="0"/>
        <v>508177.26591474871</v>
      </c>
      <c r="F9" s="5">
        <f t="shared" si="0"/>
        <v>470534.50547661912</v>
      </c>
      <c r="G9" s="5">
        <f t="shared" si="0"/>
        <v>435680.0976635362</v>
      </c>
      <c r="H9" s="5">
        <f t="shared" si="0"/>
        <v>403407.49783660757</v>
      </c>
      <c r="I9" s="5">
        <f t="shared" si="0"/>
        <v>373525.46095982182</v>
      </c>
      <c r="J9" s="5">
        <f t="shared" si="0"/>
        <v>345856.9082961313</v>
      </c>
      <c r="K9" s="5">
        <f t="shared" si="0"/>
        <v>320237.87805197341</v>
      </c>
      <c r="L9" s="5">
        <f t="shared" si="0"/>
        <v>296516.55375182722</v>
      </c>
    </row>
    <row r="10" spans="2:15" x14ac:dyDescent="0.35">
      <c r="B10" s="17" t="s">
        <v>4</v>
      </c>
      <c r="C10" s="5">
        <f>$C$5/((1+$C$3)^C8)</f>
        <v>728849.07407407404</v>
      </c>
      <c r="D10" s="5">
        <f>$C$5/((1+$C$3)^D8)</f>
        <v>674860.25377229077</v>
      </c>
      <c r="E10" s="5">
        <f t="shared" ref="E10:L10" si="1">$C$5/((1+$C$3)^E8)</f>
        <v>624870.60534471367</v>
      </c>
      <c r="F10" s="5">
        <f t="shared" si="1"/>
        <v>578583.8938376978</v>
      </c>
      <c r="G10" s="5">
        <f t="shared" si="1"/>
        <v>535725.82762749796</v>
      </c>
      <c r="H10" s="5">
        <f t="shared" si="1"/>
        <v>496042.43298842391</v>
      </c>
      <c r="I10" s="5">
        <f t="shared" si="1"/>
        <v>459298.54906335549</v>
      </c>
      <c r="J10" s="5">
        <f t="shared" si="1"/>
        <v>425276.43431792175</v>
      </c>
      <c r="K10" s="5">
        <f t="shared" si="1"/>
        <v>393774.47622029786</v>
      </c>
      <c r="L10" s="5">
        <f t="shared" si="1"/>
        <v>364605.9965002758</v>
      </c>
    </row>
    <row r="11" spans="2:15" x14ac:dyDescent="0.35">
      <c r="B11" s="17" t="s">
        <v>5</v>
      </c>
      <c r="C11" s="5">
        <f>$C$6/((1+$C$3)^C8)</f>
        <v>986205.09259259258</v>
      </c>
      <c r="D11" s="5">
        <f t="shared" ref="D11:L11" si="2">$C$6/((1+$C$3)^D8)</f>
        <v>913152.86351165967</v>
      </c>
      <c r="E11" s="5">
        <f t="shared" si="2"/>
        <v>845511.91065894417</v>
      </c>
      <c r="F11" s="5">
        <f t="shared" si="2"/>
        <v>782881.3987582816</v>
      </c>
      <c r="G11" s="5">
        <f t="shared" si="2"/>
        <v>724890.18403544591</v>
      </c>
      <c r="H11" s="5">
        <f t="shared" si="2"/>
        <v>671194.61484763504</v>
      </c>
      <c r="I11" s="5">
        <f t="shared" si="2"/>
        <v>621476.49522929161</v>
      </c>
      <c r="J11" s="5">
        <f t="shared" si="2"/>
        <v>575441.19928638113</v>
      </c>
      <c r="K11" s="5">
        <f t="shared" si="2"/>
        <v>532815.92526516772</v>
      </c>
      <c r="L11" s="5">
        <f t="shared" si="2"/>
        <v>493348.07894922933</v>
      </c>
    </row>
    <row r="12" spans="2:15" x14ac:dyDescent="0.35">
      <c r="B12" s="17"/>
    </row>
    <row r="13" spans="2:15" x14ac:dyDescent="0.35">
      <c r="B13" s="17"/>
      <c r="C13" s="2">
        <v>11</v>
      </c>
      <c r="D13" s="2">
        <v>12</v>
      </c>
      <c r="E13" s="2">
        <v>13</v>
      </c>
      <c r="F13" s="2">
        <v>14</v>
      </c>
      <c r="G13" s="2">
        <v>15</v>
      </c>
      <c r="H13" s="2">
        <v>16</v>
      </c>
      <c r="I13" s="2">
        <v>17</v>
      </c>
      <c r="J13" s="2">
        <v>18</v>
      </c>
      <c r="K13" s="2">
        <v>19</v>
      </c>
      <c r="L13" s="2">
        <v>20</v>
      </c>
    </row>
    <row r="14" spans="2:15" x14ac:dyDescent="0.35">
      <c r="B14" s="17" t="s">
        <v>3</v>
      </c>
      <c r="C14" s="5">
        <f t="shared" ref="C14:L14" si="3">$C$4/((1+$C$3)^C13)</f>
        <v>274552.36458502518</v>
      </c>
      <c r="D14" s="5">
        <f t="shared" si="3"/>
        <v>254215.15239354182</v>
      </c>
      <c r="E14" s="5">
        <f t="shared" si="3"/>
        <v>235384.40036439057</v>
      </c>
      <c r="F14" s="5">
        <f t="shared" si="3"/>
        <v>217948.51885591718</v>
      </c>
      <c r="G14" s="5">
        <f t="shared" si="3"/>
        <v>201804.18412584922</v>
      </c>
      <c r="H14" s="5">
        <f t="shared" si="3"/>
        <v>186855.726042453</v>
      </c>
      <c r="I14" s="5">
        <f t="shared" si="3"/>
        <v>173014.56115041944</v>
      </c>
      <c r="J14" s="5">
        <f t="shared" si="3"/>
        <v>160198.66773186982</v>
      </c>
      <c r="K14" s="5">
        <f t="shared" si="3"/>
        <v>148332.09975173129</v>
      </c>
      <c r="L14" s="5">
        <f t="shared" si="3"/>
        <v>137344.53680715861</v>
      </c>
    </row>
    <row r="15" spans="2:15" x14ac:dyDescent="0.35">
      <c r="B15" s="17" t="s">
        <v>4</v>
      </c>
      <c r="C15" s="5">
        <f>$C$5/((1+$C$3)^C13)</f>
        <v>337598.14490766276</v>
      </c>
      <c r="D15" s="5">
        <f t="shared" ref="D15:L15" si="4">$C$5/((1+$C$3)^D13)</f>
        <v>312590.87491450255</v>
      </c>
      <c r="E15" s="5">
        <f t="shared" si="4"/>
        <v>289435.99529120605</v>
      </c>
      <c r="F15" s="5">
        <f t="shared" si="4"/>
        <v>267996.29193630186</v>
      </c>
      <c r="G15" s="5">
        <f t="shared" si="4"/>
        <v>248144.71475583504</v>
      </c>
      <c r="H15" s="5">
        <f>$C$5/((1+$C$3)^H13)</f>
        <v>229763.62477392133</v>
      </c>
      <c r="I15" s="5">
        <f t="shared" si="4"/>
        <v>212744.09701289012</v>
      </c>
      <c r="J15" s="5">
        <f t="shared" si="4"/>
        <v>196985.27501193527</v>
      </c>
      <c r="K15" s="5">
        <f t="shared" si="4"/>
        <v>182393.77315919931</v>
      </c>
      <c r="L15" s="5">
        <f t="shared" si="4"/>
        <v>168883.12329555492</v>
      </c>
    </row>
    <row r="16" spans="2:15" x14ac:dyDescent="0.35">
      <c r="B16" s="17" t="s">
        <v>5</v>
      </c>
      <c r="C16" s="5">
        <f>$C$6/((1+$C$3)^C13)</f>
        <v>456803.776804842</v>
      </c>
      <c r="D16" s="5">
        <f t="shared" ref="D16:L16" si="5">$C$6/((1+$C$3)^D13)</f>
        <v>422966.46000448329</v>
      </c>
      <c r="E16" s="5">
        <f t="shared" si="5"/>
        <v>391635.61111526226</v>
      </c>
      <c r="F16" s="5">
        <f t="shared" si="5"/>
        <v>362625.56584746501</v>
      </c>
      <c r="G16" s="5">
        <f t="shared" si="5"/>
        <v>335764.41282172682</v>
      </c>
      <c r="H16" s="5">
        <f t="shared" si="5"/>
        <v>310892.97483493225</v>
      </c>
      <c r="I16" s="5">
        <f t="shared" si="5"/>
        <v>287863.86558790022</v>
      </c>
      <c r="J16" s="5">
        <f t="shared" si="5"/>
        <v>266540.61628509278</v>
      </c>
      <c r="K16" s="5">
        <f t="shared" si="5"/>
        <v>246796.86693064144</v>
      </c>
      <c r="L16" s="5">
        <f t="shared" si="5"/>
        <v>228515.61752837172</v>
      </c>
    </row>
  </sheetData>
  <mergeCells count="4">
    <mergeCell ref="C7:L7"/>
    <mergeCell ref="H1:I1"/>
    <mergeCell ref="K1:L1"/>
    <mergeCell ref="N1:O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41AB-FA05-4689-970F-41940E5E4D56}">
  <dimension ref="B1:V19"/>
  <sheetViews>
    <sheetView workbookViewId="0">
      <selection activeCell="D6" sqref="D6"/>
    </sheetView>
  </sheetViews>
  <sheetFormatPr baseColWidth="10" defaultRowHeight="14.5" x14ac:dyDescent="0.35"/>
  <cols>
    <col min="2" max="2" width="20" bestFit="1" customWidth="1"/>
    <col min="9" max="9" width="11.26953125" bestFit="1" customWidth="1"/>
  </cols>
  <sheetData>
    <row r="1" spans="2:22" x14ac:dyDescent="0.35">
      <c r="E1" s="19" t="s">
        <v>67</v>
      </c>
      <c r="F1" s="19"/>
      <c r="H1" s="19" t="s">
        <v>68</v>
      </c>
      <c r="I1" s="19"/>
      <c r="K1" s="19" t="s">
        <v>66</v>
      </c>
      <c r="L1" s="19"/>
    </row>
    <row r="2" spans="2:22" x14ac:dyDescent="0.35">
      <c r="B2" t="s">
        <v>80</v>
      </c>
      <c r="C2" s="5">
        <f>'OPEX 25%'!F19</f>
        <v>640157</v>
      </c>
      <c r="E2" s="3" t="s">
        <v>49</v>
      </c>
      <c r="F2" s="11">
        <f>IRR(B9:L9)</f>
        <v>-1.3353217406831708E-2</v>
      </c>
      <c r="H2" s="3" t="s">
        <v>49</v>
      </c>
      <c r="I2" s="11">
        <f>IRR(B9:Q9)</f>
        <v>4.4515285877237076E-2</v>
      </c>
      <c r="K2" s="3" t="s">
        <v>49</v>
      </c>
      <c r="L2" s="11">
        <f>IRR(B9:V9)</f>
        <v>6.7825784116982701E-2</v>
      </c>
    </row>
    <row r="3" spans="2:22" x14ac:dyDescent="0.35">
      <c r="B3" t="s">
        <v>81</v>
      </c>
      <c r="C3" s="5">
        <f>'OPEX 25%'!I19</f>
        <v>787157</v>
      </c>
      <c r="E3" s="3" t="s">
        <v>53</v>
      </c>
      <c r="F3" s="11">
        <f>IRR(B14:L14)</f>
        <v>0.10002173172701911</v>
      </c>
      <c r="H3" s="3" t="s">
        <v>53</v>
      </c>
      <c r="I3" s="11">
        <f>IRR(B14:Q14)</f>
        <v>0.13994056220419182</v>
      </c>
      <c r="K3" s="3" t="s">
        <v>53</v>
      </c>
      <c r="L3" s="11">
        <f>IRR(B14:V14)</f>
        <v>0.15338333113384484</v>
      </c>
    </row>
    <row r="4" spans="2:22" x14ac:dyDescent="0.35">
      <c r="B4" t="s">
        <v>82</v>
      </c>
      <c r="C4" s="5">
        <f>'OPEX 25%'!L19</f>
        <v>976157</v>
      </c>
      <c r="E4" s="3" t="s">
        <v>54</v>
      </c>
      <c r="F4" s="11">
        <f>IRR(B19:L19)</f>
        <v>3.6036556216557436E-2</v>
      </c>
      <c r="H4" s="3" t="s">
        <v>54</v>
      </c>
      <c r="I4" s="11">
        <f>IRR(B19:Q19)</f>
        <v>8.5621855508887679E-2</v>
      </c>
      <c r="K4" s="3" t="s">
        <v>54</v>
      </c>
      <c r="L4" s="11">
        <f>IRR(B19:V19)</f>
        <v>0.1042319143780932</v>
      </c>
    </row>
    <row r="7" spans="2:22" x14ac:dyDescent="0.35">
      <c r="C7" s="18" t="s">
        <v>50</v>
      </c>
      <c r="D7" s="18"/>
      <c r="E7" s="18"/>
      <c r="F7" s="18"/>
      <c r="G7" s="18"/>
      <c r="H7" s="18"/>
      <c r="I7" s="18"/>
      <c r="J7" s="18"/>
      <c r="K7" s="18"/>
      <c r="L7" s="18"/>
    </row>
    <row r="8" spans="2:22" x14ac:dyDescent="0.35">
      <c r="B8">
        <v>0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</row>
    <row r="9" spans="2:22" x14ac:dyDescent="0.35">
      <c r="B9" s="5">
        <f>-'CAPEX 25%'!C14</f>
        <v>-6897962.5</v>
      </c>
      <c r="C9" s="5">
        <f>$C$2</f>
        <v>640157</v>
      </c>
      <c r="D9" s="5">
        <f t="shared" ref="D9:V9" si="0">$C$2</f>
        <v>640157</v>
      </c>
      <c r="E9" s="5">
        <f t="shared" si="0"/>
        <v>640157</v>
      </c>
      <c r="F9" s="5">
        <f t="shared" si="0"/>
        <v>640157</v>
      </c>
      <c r="G9" s="5">
        <f t="shared" si="0"/>
        <v>640157</v>
      </c>
      <c r="H9" s="5">
        <f t="shared" si="0"/>
        <v>640157</v>
      </c>
      <c r="I9" s="5">
        <f t="shared" si="0"/>
        <v>640157</v>
      </c>
      <c r="J9" s="5">
        <f t="shared" si="0"/>
        <v>640157</v>
      </c>
      <c r="K9" s="5">
        <f t="shared" si="0"/>
        <v>640157</v>
      </c>
      <c r="L9" s="5">
        <f t="shared" si="0"/>
        <v>640157</v>
      </c>
      <c r="M9" s="5">
        <f t="shared" si="0"/>
        <v>640157</v>
      </c>
      <c r="N9" s="5">
        <f t="shared" si="0"/>
        <v>640157</v>
      </c>
      <c r="O9" s="5">
        <f t="shared" si="0"/>
        <v>640157</v>
      </c>
      <c r="P9" s="5">
        <f t="shared" si="0"/>
        <v>640157</v>
      </c>
      <c r="Q9" s="5">
        <f t="shared" si="0"/>
        <v>640157</v>
      </c>
      <c r="R9" s="5">
        <f t="shared" si="0"/>
        <v>640157</v>
      </c>
      <c r="S9" s="5">
        <f t="shared" si="0"/>
        <v>640157</v>
      </c>
      <c r="T9" s="5">
        <f t="shared" si="0"/>
        <v>640157</v>
      </c>
      <c r="U9" s="5">
        <f t="shared" si="0"/>
        <v>640157</v>
      </c>
      <c r="V9" s="5">
        <f t="shared" si="0"/>
        <v>640157</v>
      </c>
    </row>
    <row r="12" spans="2:22" x14ac:dyDescent="0.35">
      <c r="C12" s="18" t="s">
        <v>51</v>
      </c>
      <c r="D12" s="18"/>
      <c r="E12" s="18"/>
      <c r="F12" s="18"/>
      <c r="G12" s="18"/>
      <c r="H12" s="18"/>
      <c r="I12" s="18"/>
      <c r="J12" s="18"/>
      <c r="K12" s="18"/>
      <c r="L12" s="18"/>
    </row>
    <row r="13" spans="2:22" x14ac:dyDescent="0.35"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</row>
    <row r="14" spans="2:22" x14ac:dyDescent="0.35">
      <c r="B14" s="5">
        <f>-'CAPEX 25%'!F14</f>
        <v>-4836287.5</v>
      </c>
      <c r="C14" s="5">
        <f>$C$3</f>
        <v>787157</v>
      </c>
      <c r="D14" s="5">
        <f t="shared" ref="D14:V14" si="1">$C$3</f>
        <v>787157</v>
      </c>
      <c r="E14" s="5">
        <f t="shared" si="1"/>
        <v>787157</v>
      </c>
      <c r="F14" s="5">
        <f t="shared" si="1"/>
        <v>787157</v>
      </c>
      <c r="G14" s="5">
        <f t="shared" si="1"/>
        <v>787157</v>
      </c>
      <c r="H14" s="5">
        <f t="shared" si="1"/>
        <v>787157</v>
      </c>
      <c r="I14" s="5">
        <f t="shared" si="1"/>
        <v>787157</v>
      </c>
      <c r="J14" s="5">
        <f t="shared" si="1"/>
        <v>787157</v>
      </c>
      <c r="K14" s="5">
        <f t="shared" si="1"/>
        <v>787157</v>
      </c>
      <c r="L14" s="5">
        <f t="shared" si="1"/>
        <v>787157</v>
      </c>
      <c r="M14" s="5">
        <f t="shared" si="1"/>
        <v>787157</v>
      </c>
      <c r="N14" s="5">
        <f t="shared" si="1"/>
        <v>787157</v>
      </c>
      <c r="O14" s="5">
        <f t="shared" si="1"/>
        <v>787157</v>
      </c>
      <c r="P14" s="5">
        <f t="shared" si="1"/>
        <v>787157</v>
      </c>
      <c r="Q14" s="5">
        <f t="shared" si="1"/>
        <v>787157</v>
      </c>
      <c r="R14" s="5">
        <f t="shared" si="1"/>
        <v>787157</v>
      </c>
      <c r="S14" s="5">
        <f t="shared" si="1"/>
        <v>787157</v>
      </c>
      <c r="T14" s="5">
        <f t="shared" si="1"/>
        <v>787157</v>
      </c>
      <c r="U14" s="5">
        <f t="shared" si="1"/>
        <v>787157</v>
      </c>
      <c r="V14" s="5">
        <f t="shared" si="1"/>
        <v>787157</v>
      </c>
    </row>
    <row r="17" spans="2:22" x14ac:dyDescent="0.35">
      <c r="C17" s="18" t="s">
        <v>52</v>
      </c>
      <c r="D17" s="18"/>
      <c r="E17" s="18"/>
      <c r="F17" s="18"/>
      <c r="G17" s="18"/>
      <c r="H17" s="18"/>
      <c r="I17" s="18"/>
      <c r="J17" s="18"/>
      <c r="K17" s="18"/>
      <c r="L17" s="18"/>
    </row>
    <row r="18" spans="2:22" x14ac:dyDescent="0.35">
      <c r="B18">
        <v>0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  <c r="L18">
        <v>10</v>
      </c>
      <c r="M18">
        <v>11</v>
      </c>
      <c r="N18">
        <v>12</v>
      </c>
      <c r="O18">
        <v>13</v>
      </c>
      <c r="P18">
        <v>14</v>
      </c>
      <c r="Q18">
        <v>15</v>
      </c>
      <c r="R18">
        <v>16</v>
      </c>
      <c r="S18">
        <v>17</v>
      </c>
      <c r="T18">
        <v>18</v>
      </c>
      <c r="U18">
        <v>19</v>
      </c>
      <c r="V18">
        <v>20</v>
      </c>
    </row>
    <row r="19" spans="2:22" x14ac:dyDescent="0.35">
      <c r="B19" s="5">
        <f>-'CAPEX 25%'!I14</f>
        <v>-8076062.5</v>
      </c>
      <c r="C19" s="5">
        <f>$C$4</f>
        <v>976157</v>
      </c>
      <c r="D19" s="5">
        <f t="shared" ref="D19:V19" si="2">$C$4</f>
        <v>976157</v>
      </c>
      <c r="E19" s="5">
        <f t="shared" si="2"/>
        <v>976157</v>
      </c>
      <c r="F19" s="5">
        <f t="shared" si="2"/>
        <v>976157</v>
      </c>
      <c r="G19" s="5">
        <f t="shared" si="2"/>
        <v>976157</v>
      </c>
      <c r="H19" s="5">
        <f t="shared" si="2"/>
        <v>976157</v>
      </c>
      <c r="I19" s="5">
        <f t="shared" si="2"/>
        <v>976157</v>
      </c>
      <c r="J19" s="5">
        <f t="shared" si="2"/>
        <v>976157</v>
      </c>
      <c r="K19" s="5">
        <f t="shared" si="2"/>
        <v>976157</v>
      </c>
      <c r="L19" s="5">
        <f t="shared" si="2"/>
        <v>976157</v>
      </c>
      <c r="M19" s="5">
        <f t="shared" si="2"/>
        <v>976157</v>
      </c>
      <c r="N19" s="5">
        <f t="shared" si="2"/>
        <v>976157</v>
      </c>
      <c r="O19" s="5">
        <f t="shared" si="2"/>
        <v>976157</v>
      </c>
      <c r="P19" s="5">
        <f t="shared" si="2"/>
        <v>976157</v>
      </c>
      <c r="Q19" s="5">
        <f t="shared" si="2"/>
        <v>976157</v>
      </c>
      <c r="R19" s="5">
        <f t="shared" si="2"/>
        <v>976157</v>
      </c>
      <c r="S19" s="5">
        <f t="shared" si="2"/>
        <v>976157</v>
      </c>
      <c r="T19" s="5">
        <f t="shared" si="2"/>
        <v>976157</v>
      </c>
      <c r="U19" s="5">
        <f t="shared" si="2"/>
        <v>976157</v>
      </c>
      <c r="V19" s="5">
        <f t="shared" si="2"/>
        <v>976157</v>
      </c>
    </row>
  </sheetData>
  <mergeCells count="6">
    <mergeCell ref="C7:L7"/>
    <mergeCell ref="C12:L12"/>
    <mergeCell ref="C17:L17"/>
    <mergeCell ref="E1:F1"/>
    <mergeCell ref="H1:I1"/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EBD9-4AB4-44E4-A602-35786004721C}">
  <dimension ref="B2:L32"/>
  <sheetViews>
    <sheetView workbookViewId="0">
      <selection activeCell="M3" sqref="M3"/>
    </sheetView>
  </sheetViews>
  <sheetFormatPr baseColWidth="10" defaultRowHeight="14.5" x14ac:dyDescent="0.35"/>
  <cols>
    <col min="2" max="2" width="20" bestFit="1" customWidth="1"/>
    <col min="3" max="3" width="11.7265625" bestFit="1" customWidth="1"/>
    <col min="4" max="4" width="11.7265625" customWidth="1"/>
    <col min="5" max="5" width="11.7265625" bestFit="1" customWidth="1"/>
    <col min="6" max="6" width="11.54296875" bestFit="1" customWidth="1"/>
    <col min="7" max="11" width="11.7265625" bestFit="1" customWidth="1"/>
    <col min="12" max="12" width="12" bestFit="1" customWidth="1"/>
  </cols>
  <sheetData>
    <row r="2" spans="2:12" x14ac:dyDescent="0.35">
      <c r="B2" t="s">
        <v>40</v>
      </c>
      <c r="C2">
        <v>20</v>
      </c>
      <c r="E2" t="s">
        <v>63</v>
      </c>
      <c r="F2" s="5">
        <f>'CAPEX 25%'!C11</f>
        <v>7377500</v>
      </c>
      <c r="H2" s="3" t="s">
        <v>55</v>
      </c>
      <c r="I2" s="12">
        <f>F2/$C$4</f>
        <v>11.524516642011257</v>
      </c>
    </row>
    <row r="3" spans="2:12" x14ac:dyDescent="0.35">
      <c r="B3" t="s">
        <v>41</v>
      </c>
      <c r="C3" s="10">
        <v>0</v>
      </c>
      <c r="E3" t="s">
        <v>64</v>
      </c>
      <c r="F3" s="5">
        <f>'CAPEX 25%'!F11</f>
        <v>5172500</v>
      </c>
      <c r="H3" s="3" t="s">
        <v>56</v>
      </c>
      <c r="I3" s="12">
        <f>F3/$C$5</f>
        <v>6.5711160543576437</v>
      </c>
    </row>
    <row r="4" spans="2:12" x14ac:dyDescent="0.35">
      <c r="B4" t="s">
        <v>80</v>
      </c>
      <c r="C4" s="5">
        <f>'OPEX 25%'!F19</f>
        <v>640157</v>
      </c>
      <c r="E4" t="s">
        <v>65</v>
      </c>
      <c r="F4" s="5">
        <f>'CAPEX 25%'!I11</f>
        <v>8637500</v>
      </c>
      <c r="H4" s="3" t="s">
        <v>57</v>
      </c>
      <c r="I4" s="12">
        <f>F4/$C$6</f>
        <v>8.8484741696264031</v>
      </c>
    </row>
    <row r="5" spans="2:12" x14ac:dyDescent="0.35">
      <c r="B5" t="s">
        <v>81</v>
      </c>
      <c r="C5" s="5">
        <f>'OPEX 25%'!I19</f>
        <v>787157</v>
      </c>
    </row>
    <row r="6" spans="2:12" x14ac:dyDescent="0.35">
      <c r="B6" t="s">
        <v>82</v>
      </c>
      <c r="C6" s="5">
        <f>'OPEX 25%'!L19</f>
        <v>976157</v>
      </c>
    </row>
    <row r="7" spans="2:12" x14ac:dyDescent="0.35">
      <c r="C7" s="18" t="s">
        <v>55</v>
      </c>
      <c r="D7" s="18"/>
      <c r="E7" s="18"/>
      <c r="F7" s="18"/>
      <c r="G7" s="18"/>
      <c r="H7" s="18"/>
      <c r="I7" s="18"/>
      <c r="J7" s="18"/>
      <c r="K7" s="18"/>
      <c r="L7" s="18"/>
    </row>
    <row r="8" spans="2:12" x14ac:dyDescent="0.35">
      <c r="B8">
        <v>0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</row>
    <row r="9" spans="2:12" x14ac:dyDescent="0.35">
      <c r="B9" s="5">
        <f>-F2</f>
        <v>-7377500</v>
      </c>
      <c r="C9" s="5">
        <f>$C$4/((1+$C$3)^C8)+B9</f>
        <v>-6737343</v>
      </c>
      <c r="D9" s="5">
        <f t="shared" ref="D9:L9" si="0">$C$4/((1+$C$3)^D8)+C9</f>
        <v>-6097186</v>
      </c>
      <c r="E9" s="5">
        <f t="shared" si="0"/>
        <v>-5457029</v>
      </c>
      <c r="F9" s="5">
        <f t="shared" si="0"/>
        <v>-4816872</v>
      </c>
      <c r="G9" s="5">
        <f t="shared" si="0"/>
        <v>-4176715</v>
      </c>
      <c r="H9" s="5">
        <f t="shared" si="0"/>
        <v>-3536558</v>
      </c>
      <c r="I9" s="5">
        <f t="shared" si="0"/>
        <v>-2896401</v>
      </c>
      <c r="J9" s="5">
        <f t="shared" si="0"/>
        <v>-2256244</v>
      </c>
      <c r="K9" s="5">
        <f t="shared" si="0"/>
        <v>-1616087</v>
      </c>
      <c r="L9" s="5">
        <f t="shared" si="0"/>
        <v>-975930</v>
      </c>
    </row>
    <row r="12" spans="2:12" x14ac:dyDescent="0.35">
      <c r="C12">
        <v>11</v>
      </c>
      <c r="D12">
        <v>12</v>
      </c>
      <c r="E12">
        <v>13</v>
      </c>
      <c r="F12">
        <v>14</v>
      </c>
      <c r="G12" s="14">
        <v>15</v>
      </c>
      <c r="H12">
        <v>16</v>
      </c>
      <c r="I12">
        <v>17</v>
      </c>
      <c r="J12">
        <v>18</v>
      </c>
      <c r="K12">
        <v>19</v>
      </c>
      <c r="L12">
        <v>20</v>
      </c>
    </row>
    <row r="13" spans="2:12" x14ac:dyDescent="0.35">
      <c r="C13" s="5">
        <f>$C$4/((1+$C$3)^C12)+L9</f>
        <v>-335773</v>
      </c>
      <c r="D13" s="5">
        <f t="shared" ref="D13:L13" si="1">$C$4/((1+$C$3)^D12)+C13</f>
        <v>304384</v>
      </c>
      <c r="E13" s="5">
        <f t="shared" si="1"/>
        <v>944541</v>
      </c>
      <c r="F13" s="5">
        <f t="shared" si="1"/>
        <v>1584698</v>
      </c>
      <c r="G13" s="13">
        <f t="shared" si="1"/>
        <v>2224855</v>
      </c>
      <c r="H13" s="5">
        <f t="shared" si="1"/>
        <v>2865012</v>
      </c>
      <c r="I13" s="5">
        <f t="shared" si="1"/>
        <v>3505169</v>
      </c>
      <c r="J13" s="5">
        <f t="shared" si="1"/>
        <v>4145326</v>
      </c>
      <c r="K13" s="5">
        <f t="shared" si="1"/>
        <v>4785483</v>
      </c>
      <c r="L13" s="5">
        <f t="shared" si="1"/>
        <v>5425640</v>
      </c>
    </row>
    <row r="16" spans="2:12" x14ac:dyDescent="0.35">
      <c r="C16" s="18" t="s">
        <v>56</v>
      </c>
      <c r="D16" s="18"/>
      <c r="E16" s="18"/>
      <c r="F16" s="18"/>
      <c r="G16" s="18"/>
      <c r="H16" s="18"/>
      <c r="I16" s="18"/>
      <c r="J16" s="18"/>
      <c r="K16" s="18"/>
      <c r="L16" s="18"/>
    </row>
    <row r="17" spans="2:12" x14ac:dyDescent="0.35">
      <c r="B17">
        <v>0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 s="14">
        <v>9</v>
      </c>
      <c r="L17">
        <v>10</v>
      </c>
    </row>
    <row r="18" spans="2:12" x14ac:dyDescent="0.35">
      <c r="B18" s="5">
        <f>-F3</f>
        <v>-5172500</v>
      </c>
      <c r="C18" s="5">
        <f>$C$5/((1+$C$3)^C17)+B18</f>
        <v>-4385343</v>
      </c>
      <c r="D18" s="5">
        <f>$C$5/((1+$C$3)^D17)+C18</f>
        <v>-3598186</v>
      </c>
      <c r="E18" s="5">
        <f>$C$45/((1+$C$3)^E17)+D18</f>
        <v>-3598186</v>
      </c>
      <c r="F18" s="5">
        <f t="shared" ref="F18:L18" si="2">$C$5/((1+$C$3)^F17)+E18</f>
        <v>-2811029</v>
      </c>
      <c r="G18" s="5">
        <f t="shared" si="2"/>
        <v>-2023872</v>
      </c>
      <c r="H18" s="5">
        <f t="shared" si="2"/>
        <v>-1236715</v>
      </c>
      <c r="I18" s="5">
        <f t="shared" si="2"/>
        <v>-449558</v>
      </c>
      <c r="J18" s="5">
        <f t="shared" si="2"/>
        <v>337599</v>
      </c>
      <c r="K18" s="13">
        <f t="shared" si="2"/>
        <v>1124756</v>
      </c>
      <c r="L18" s="5">
        <f t="shared" si="2"/>
        <v>1911913</v>
      </c>
    </row>
    <row r="21" spans="2:12" x14ac:dyDescent="0.35">
      <c r="C21">
        <v>11</v>
      </c>
      <c r="D21">
        <v>12</v>
      </c>
      <c r="E21">
        <v>13</v>
      </c>
      <c r="F21">
        <v>14</v>
      </c>
      <c r="G21">
        <v>15</v>
      </c>
      <c r="H21">
        <v>16</v>
      </c>
      <c r="I21">
        <v>17</v>
      </c>
      <c r="J21">
        <v>18</v>
      </c>
      <c r="K21">
        <v>19</v>
      </c>
      <c r="L21">
        <v>20</v>
      </c>
    </row>
    <row r="22" spans="2:12" x14ac:dyDescent="0.35">
      <c r="C22" s="5">
        <f>$C$5/((1+$C$3)^C21)+L18</f>
        <v>2699070</v>
      </c>
      <c r="D22" s="5">
        <f t="shared" ref="D22:L22" si="3">$C$5/((1+$C$3)^D21)+C22</f>
        <v>3486227</v>
      </c>
      <c r="E22" s="5">
        <f t="shared" si="3"/>
        <v>4273384</v>
      </c>
      <c r="F22" s="5">
        <f t="shared" si="3"/>
        <v>5060541</v>
      </c>
      <c r="G22" s="5">
        <f t="shared" si="3"/>
        <v>5847698</v>
      </c>
      <c r="H22" s="5">
        <f t="shared" si="3"/>
        <v>6634855</v>
      </c>
      <c r="I22" s="5">
        <f t="shared" si="3"/>
        <v>7422012</v>
      </c>
      <c r="J22" s="5">
        <f t="shared" si="3"/>
        <v>8209169</v>
      </c>
      <c r="K22" s="5">
        <f t="shared" si="3"/>
        <v>8996326</v>
      </c>
      <c r="L22" s="5">
        <f t="shared" si="3"/>
        <v>9783483</v>
      </c>
    </row>
    <row r="26" spans="2:12" x14ac:dyDescent="0.35">
      <c r="C26" s="18" t="s">
        <v>57</v>
      </c>
      <c r="D26" s="18"/>
      <c r="E26" s="18"/>
      <c r="F26" s="18"/>
      <c r="G26" s="18"/>
      <c r="H26" s="18"/>
      <c r="I26" s="18"/>
      <c r="J26" s="18"/>
      <c r="K26" s="18"/>
      <c r="L26" s="18"/>
    </row>
    <row r="27" spans="2:12" x14ac:dyDescent="0.35">
      <c r="B27">
        <v>0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</row>
    <row r="28" spans="2:12" x14ac:dyDescent="0.35">
      <c r="B28" s="5">
        <f>-F4</f>
        <v>-8637500</v>
      </c>
      <c r="C28" s="5">
        <f t="shared" ref="C28:L28" si="4">$C$6/((1+$C$3)^C27)+B28</f>
        <v>-7661343</v>
      </c>
      <c r="D28" s="5">
        <f t="shared" si="4"/>
        <v>-6685186</v>
      </c>
      <c r="E28" s="5">
        <f t="shared" si="4"/>
        <v>-5709029</v>
      </c>
      <c r="F28" s="5">
        <f t="shared" si="4"/>
        <v>-4732872</v>
      </c>
      <c r="G28" s="5">
        <f t="shared" si="4"/>
        <v>-3756715</v>
      </c>
      <c r="H28" s="5">
        <f t="shared" si="4"/>
        <v>-2780558</v>
      </c>
      <c r="I28" s="5">
        <f t="shared" si="4"/>
        <v>-1804401</v>
      </c>
      <c r="J28" s="5">
        <f t="shared" si="4"/>
        <v>-828244</v>
      </c>
      <c r="K28" s="5">
        <f t="shared" si="4"/>
        <v>147913</v>
      </c>
      <c r="L28" s="5">
        <f t="shared" si="4"/>
        <v>1124070</v>
      </c>
    </row>
    <row r="31" spans="2:12" x14ac:dyDescent="0.35">
      <c r="C31" s="14">
        <v>11</v>
      </c>
      <c r="D31">
        <v>12</v>
      </c>
      <c r="E31">
        <v>13</v>
      </c>
      <c r="F31">
        <v>14</v>
      </c>
      <c r="G31">
        <v>15</v>
      </c>
      <c r="H31">
        <v>16</v>
      </c>
      <c r="I31">
        <v>17</v>
      </c>
      <c r="J31">
        <v>18</v>
      </c>
      <c r="K31">
        <v>19</v>
      </c>
      <c r="L31">
        <v>20</v>
      </c>
    </row>
    <row r="32" spans="2:12" x14ac:dyDescent="0.35">
      <c r="C32" s="13">
        <f>$C$6/((1+$C$3)^C31)+L28</f>
        <v>2100227</v>
      </c>
      <c r="D32" s="5">
        <f t="shared" ref="D32:L32" si="5">$C$6/((1+$C$3)^D31)+C32</f>
        <v>3076384</v>
      </c>
      <c r="E32" s="5">
        <f t="shared" si="5"/>
        <v>4052541</v>
      </c>
      <c r="F32" s="5">
        <f t="shared" si="5"/>
        <v>5028698</v>
      </c>
      <c r="G32" s="5">
        <f t="shared" si="5"/>
        <v>6004855</v>
      </c>
      <c r="H32" s="5">
        <f t="shared" si="5"/>
        <v>6981012</v>
      </c>
      <c r="I32" s="5">
        <f t="shared" si="5"/>
        <v>7957169</v>
      </c>
      <c r="J32" s="5">
        <f t="shared" si="5"/>
        <v>8933326</v>
      </c>
      <c r="K32" s="5">
        <f t="shared" si="5"/>
        <v>9909483</v>
      </c>
      <c r="L32" s="5">
        <f t="shared" si="5"/>
        <v>10885640</v>
      </c>
    </row>
  </sheetData>
  <mergeCells count="3">
    <mergeCell ref="C7:L7"/>
    <mergeCell ref="C16:L16"/>
    <mergeCell ref="C26:L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Costs 25%</vt:lpstr>
      <vt:lpstr>CAPEX 25%</vt:lpstr>
      <vt:lpstr>OPEX 25%</vt:lpstr>
      <vt:lpstr>VAN 25%</vt:lpstr>
      <vt:lpstr>TIR 25%</vt:lpstr>
      <vt:lpstr>ROI 25%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</cp:lastModifiedBy>
  <dcterms:created xsi:type="dcterms:W3CDTF">2026-01-08T12:13:09Z</dcterms:created>
  <dcterms:modified xsi:type="dcterms:W3CDTF">2026-01-13T14:52:36Z</dcterms:modified>
</cp:coreProperties>
</file>