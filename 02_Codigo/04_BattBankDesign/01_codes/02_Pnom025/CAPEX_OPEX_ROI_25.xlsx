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sar\Documents\Tesis Magister\Tesis_Msc_LSZ\02_Codigo\04_BattBankDesign\01_codes\"/>
    </mc:Choice>
  </mc:AlternateContent>
  <xr:revisionPtr revIDLastSave="0" documentId="13_ncr:1_{122383B0-041D-4953-B778-608026CFD18F}" xr6:coauthVersionLast="47" xr6:coauthVersionMax="47" xr10:uidLastSave="{00000000-0000-0000-0000-000000000000}"/>
  <bookViews>
    <workbookView xWindow="-28920" yWindow="-11610" windowWidth="29040" windowHeight="15840" activeTab="5" xr2:uid="{32DAA168-B565-429F-AAFE-E289AA3DABBF}"/>
  </bookViews>
  <sheets>
    <sheet name="Costs 25%" sheetId="1" r:id="rId1"/>
    <sheet name="CAPEX 25%" sheetId="2" r:id="rId2"/>
    <sheet name="OPEX 25%" sheetId="3" r:id="rId3"/>
    <sheet name="VAN 25%" sheetId="4" r:id="rId4"/>
    <sheet name="TIR 25%" sheetId="6" r:id="rId5"/>
    <sheet name="ROI 25%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8" l="1"/>
  <c r="F14" i="3"/>
  <c r="C14" i="3"/>
  <c r="C12" i="2"/>
  <c r="F15" i="3" l="1"/>
  <c r="C15" i="3"/>
  <c r="F7" i="3"/>
  <c r="F6" i="3"/>
  <c r="F8" i="3" s="1"/>
  <c r="C7" i="3"/>
  <c r="C6" i="3"/>
  <c r="C8" i="3" s="1"/>
  <c r="F4" i="4"/>
  <c r="I12" i="2"/>
  <c r="I13" i="2" s="1"/>
  <c r="B19" i="6" s="1"/>
  <c r="B9" i="6"/>
  <c r="F12" i="2"/>
  <c r="F13" i="2" s="1"/>
  <c r="B14" i="6" s="1"/>
  <c r="C13" i="2"/>
  <c r="F2" i="4" s="1"/>
  <c r="F3" i="4" l="1"/>
  <c r="F5" i="3"/>
  <c r="F4" i="3"/>
  <c r="F3" i="3"/>
  <c r="F9" i="3"/>
  <c r="C9" i="3"/>
  <c r="C4" i="3"/>
  <c r="C3" i="3"/>
  <c r="C5" i="3" s="1"/>
  <c r="C10" i="3" s="1"/>
  <c r="C17" i="3" s="1"/>
  <c r="F10" i="3" l="1"/>
  <c r="C18" i="3" l="1"/>
  <c r="C19" i="3" s="1"/>
  <c r="I10" i="2"/>
  <c r="I9" i="2"/>
  <c r="I8" i="2"/>
  <c r="I7" i="2"/>
  <c r="F10" i="2"/>
  <c r="F9" i="2"/>
  <c r="F8" i="2"/>
  <c r="F7" i="2"/>
  <c r="F5" i="2"/>
  <c r="C10" i="2"/>
  <c r="C9" i="2"/>
  <c r="C8" i="2"/>
  <c r="C7" i="2"/>
  <c r="C6" i="2"/>
  <c r="C4" i="2"/>
  <c r="G26" i="1"/>
  <c r="H26" i="1" s="1"/>
  <c r="G23" i="1"/>
  <c r="H23" i="1" s="1"/>
  <c r="H20" i="1"/>
  <c r="G20" i="1"/>
  <c r="H17" i="1"/>
  <c r="G17" i="1"/>
  <c r="H14" i="1"/>
  <c r="H13" i="1"/>
  <c r="I6" i="2" s="1"/>
  <c r="G14" i="1"/>
  <c r="G13" i="1"/>
  <c r="G10" i="1"/>
  <c r="I5" i="2" s="1"/>
  <c r="F10" i="1"/>
  <c r="G6" i="1"/>
  <c r="F4" i="2" s="1"/>
  <c r="G7" i="1"/>
  <c r="I4" i="2" s="1"/>
  <c r="G5" i="1"/>
  <c r="F6" i="1"/>
  <c r="F7" i="1"/>
  <c r="F5" i="1"/>
  <c r="C4" i="4" l="1"/>
  <c r="C9" i="4" s="1"/>
  <c r="C2" i="6"/>
  <c r="C19" i="6" s="1"/>
  <c r="C4" i="8"/>
  <c r="H19" i="6"/>
  <c r="F6" i="2"/>
  <c r="F11" i="2" s="1"/>
  <c r="C5" i="2"/>
  <c r="I11" i="2"/>
  <c r="C11" i="2"/>
  <c r="K19" i="6" l="1"/>
  <c r="V19" i="6"/>
  <c r="F19" i="6"/>
  <c r="K9" i="6"/>
  <c r="M9" i="6"/>
  <c r="T19" i="6"/>
  <c r="L14" i="6"/>
  <c r="Q19" i="6"/>
  <c r="F13" i="4"/>
  <c r="R9" i="6"/>
  <c r="G9" i="6"/>
  <c r="E9" i="6"/>
  <c r="H9" i="6"/>
  <c r="H14" i="6"/>
  <c r="G14" i="6"/>
  <c r="Q14" i="6"/>
  <c r="V14" i="6"/>
  <c r="J13" i="4"/>
  <c r="N9" i="6"/>
  <c r="P19" i="6"/>
  <c r="O19" i="6"/>
  <c r="U14" i="6"/>
  <c r="F14" i="6"/>
  <c r="K13" i="4"/>
  <c r="F9" i="4"/>
  <c r="D9" i="4"/>
  <c r="L13" i="4"/>
  <c r="G9" i="4"/>
  <c r="K9" i="4"/>
  <c r="I13" i="4"/>
  <c r="D13" i="4"/>
  <c r="H13" i="4"/>
  <c r="H9" i="4"/>
  <c r="L9" i="4"/>
  <c r="I9" i="4"/>
  <c r="C14" i="6"/>
  <c r="J9" i="6"/>
  <c r="T14" i="6"/>
  <c r="U19" i="6"/>
  <c r="O14" i="6"/>
  <c r="U9" i="6"/>
  <c r="E14" i="6"/>
  <c r="E19" i="6"/>
  <c r="P9" i="6"/>
  <c r="J14" i="6"/>
  <c r="J19" i="6"/>
  <c r="K14" i="6"/>
  <c r="D14" i="6"/>
  <c r="D19" i="6"/>
  <c r="C9" i="6"/>
  <c r="G19" i="6"/>
  <c r="Q9" i="6"/>
  <c r="I14" i="6"/>
  <c r="M19" i="6"/>
  <c r="L9" i="6"/>
  <c r="N14" i="6"/>
  <c r="R19" i="6"/>
  <c r="J9" i="4"/>
  <c r="G13" i="4"/>
  <c r="E9" i="4"/>
  <c r="E13" i="4"/>
  <c r="C13" i="4"/>
  <c r="S9" i="6"/>
  <c r="V9" i="6"/>
  <c r="F9" i="6"/>
  <c r="P14" i="6"/>
  <c r="L19" i="6"/>
  <c r="O9" i="6"/>
  <c r="S14" i="6"/>
  <c r="S19" i="6"/>
  <c r="I9" i="6"/>
  <c r="M14" i="6"/>
  <c r="I19" i="6"/>
  <c r="T9" i="6"/>
  <c r="D9" i="6"/>
  <c r="R14" i="6"/>
  <c r="N19" i="6"/>
  <c r="F3" i="8"/>
  <c r="B18" i="8" s="1"/>
  <c r="C18" i="8" s="1"/>
  <c r="D18" i="8" s="1"/>
  <c r="E18" i="8" s="1"/>
  <c r="F18" i="8" s="1"/>
  <c r="G18" i="8" s="1"/>
  <c r="H18" i="8" s="1"/>
  <c r="I18" i="8" s="1"/>
  <c r="J18" i="8" s="1"/>
  <c r="K18" i="8" s="1"/>
  <c r="L18" i="8" s="1"/>
  <c r="C22" i="8" s="1"/>
  <c r="D22" i="8" s="1"/>
  <c r="E22" i="8" s="1"/>
  <c r="F22" i="8" s="1"/>
  <c r="G22" i="8" s="1"/>
  <c r="H22" i="8" s="1"/>
  <c r="I22" i="8" s="1"/>
  <c r="J22" i="8" s="1"/>
  <c r="K22" i="8" s="1"/>
  <c r="L22" i="8" s="1"/>
  <c r="F4" i="8"/>
  <c r="I3" i="8"/>
  <c r="F2" i="8"/>
  <c r="F2" i="6" l="1"/>
  <c r="I2" i="4"/>
  <c r="I3" i="4"/>
  <c r="F4" i="6"/>
  <c r="F3" i="6"/>
  <c r="I4" i="4"/>
  <c r="B28" i="8"/>
  <c r="C28" i="8" s="1"/>
  <c r="D28" i="8" s="1"/>
  <c r="E28" i="8" s="1"/>
  <c r="F28" i="8" s="1"/>
  <c r="G28" i="8" s="1"/>
  <c r="H28" i="8" s="1"/>
  <c r="I28" i="8" s="1"/>
  <c r="J28" i="8" s="1"/>
  <c r="K28" i="8" s="1"/>
  <c r="L28" i="8" s="1"/>
  <c r="C32" i="8" s="1"/>
  <c r="D32" i="8" s="1"/>
  <c r="E32" i="8" s="1"/>
  <c r="F32" i="8" s="1"/>
  <c r="G32" i="8" s="1"/>
  <c r="H32" i="8" s="1"/>
  <c r="I32" i="8" s="1"/>
  <c r="J32" i="8" s="1"/>
  <c r="K32" i="8" s="1"/>
  <c r="L32" i="8" s="1"/>
  <c r="I4" i="8"/>
  <c r="B9" i="8"/>
  <c r="C9" i="8" s="1"/>
  <c r="D9" i="8" s="1"/>
  <c r="E9" i="8" s="1"/>
  <c r="F9" i="8" s="1"/>
  <c r="G9" i="8" s="1"/>
  <c r="H9" i="8" s="1"/>
  <c r="I9" i="8" s="1"/>
  <c r="J9" i="8" s="1"/>
  <c r="K9" i="8" s="1"/>
  <c r="L9" i="8" s="1"/>
  <c r="C13" i="8" s="1"/>
  <c r="D13" i="8" s="1"/>
  <c r="E13" i="8" s="1"/>
  <c r="F13" i="8" s="1"/>
  <c r="G13" i="8" s="1"/>
  <c r="H13" i="8" s="1"/>
  <c r="I13" i="8" s="1"/>
  <c r="J13" i="8" s="1"/>
  <c r="K13" i="8" s="1"/>
  <c r="L13" i="8" s="1"/>
</calcChain>
</file>

<file path=xl/sharedStrings.xml><?xml version="1.0" encoding="utf-8"?>
<sst xmlns="http://schemas.openxmlformats.org/spreadsheetml/2006/main" count="144" uniqueCount="74">
  <si>
    <t>Lowest Cost ($/kWh)</t>
  </si>
  <si>
    <t>Highest Cost ($/kWh)</t>
  </si>
  <si>
    <t>Battery Bank NMC</t>
  </si>
  <si>
    <t>NMC</t>
  </si>
  <si>
    <t>LFP</t>
  </si>
  <si>
    <t>LTO</t>
  </si>
  <si>
    <t>Average Cost ($/kWh)</t>
  </si>
  <si>
    <t>Capacity (kWh)</t>
  </si>
  <si>
    <t>Total Cost ($)</t>
  </si>
  <si>
    <t>DC/DC Converters</t>
  </si>
  <si>
    <t>Units</t>
  </si>
  <si>
    <t>Nominal Power per unit (kW)</t>
  </si>
  <si>
    <t>Inverters and Drives</t>
  </si>
  <si>
    <t>Inverter</t>
  </si>
  <si>
    <t>Drive</t>
  </si>
  <si>
    <t>Main Genset</t>
  </si>
  <si>
    <t>Electric Motors</t>
  </si>
  <si>
    <t>Highest Cost ($/kW)</t>
  </si>
  <si>
    <t>Average Cost ($/kW)</t>
  </si>
  <si>
    <t>Lowest Cost ($/kW)</t>
  </si>
  <si>
    <t>Integration/Cabling/Equipment</t>
  </si>
  <si>
    <t>Fire/Safety Systems</t>
  </si>
  <si>
    <t>Lowest Cost ($)</t>
  </si>
  <si>
    <t>Highest Cost ($)</t>
  </si>
  <si>
    <t>Average Cost ($)</t>
  </si>
  <si>
    <t>Batt Bank</t>
  </si>
  <si>
    <t>DC/DC</t>
  </si>
  <si>
    <t>Inverters/Drives</t>
  </si>
  <si>
    <t>General Equipments/elements</t>
  </si>
  <si>
    <t>Fire security system</t>
  </si>
  <si>
    <t>Conventional Tug</t>
  </si>
  <si>
    <t>Lowest yearly fuel consumption (L)</t>
  </si>
  <si>
    <t>Highest yearly fuel consumption (L)</t>
  </si>
  <si>
    <t>Average yearly fuel consumption (L)</t>
  </si>
  <si>
    <t>Hybrid Tug</t>
  </si>
  <si>
    <t>Fuel Cost ($/L)</t>
  </si>
  <si>
    <t>Total fuel cost ($/year)</t>
  </si>
  <si>
    <t>Electricity</t>
  </si>
  <si>
    <t>Engine Maintenance</t>
  </si>
  <si>
    <t>Battery Replacement</t>
  </si>
  <si>
    <t>Total OPEX</t>
  </si>
  <si>
    <t>OPEX Conventional Tug</t>
  </si>
  <si>
    <t>OPEX Hybrid Tug</t>
  </si>
  <si>
    <t>Yearly profit</t>
  </si>
  <si>
    <t>Lifespan</t>
  </si>
  <si>
    <t>Yearly Profit ($)</t>
  </si>
  <si>
    <t>Discount Rate (%)</t>
  </si>
  <si>
    <t>Years</t>
  </si>
  <si>
    <t>VAN NMC</t>
  </si>
  <si>
    <t>CAPEX NMC</t>
  </si>
  <si>
    <t>CAPEX LFP</t>
  </si>
  <si>
    <t>CAPEX LTO</t>
  </si>
  <si>
    <t>VAN LFP</t>
  </si>
  <si>
    <t>VAN LTO</t>
  </si>
  <si>
    <t>TIR NMC</t>
  </si>
  <si>
    <t>NMC Batt Bank</t>
  </si>
  <si>
    <t>LFP Batt Bank</t>
  </si>
  <si>
    <t>LTO Batt Bank</t>
  </si>
  <si>
    <t>TIR LFP</t>
  </si>
  <si>
    <t>TIR LTO</t>
  </si>
  <si>
    <t>ROI NMC</t>
  </si>
  <si>
    <t>ROI LFP</t>
  </si>
  <si>
    <t>ROI LTO</t>
  </si>
  <si>
    <t>Carbon Tax ($50/ton)</t>
  </si>
  <si>
    <t>Goverment grants (20%-40%)</t>
  </si>
  <si>
    <t>Costo Total</t>
  </si>
  <si>
    <t>Costo Bruto</t>
  </si>
  <si>
    <t>Percentage of the cost subsidized by the government</t>
  </si>
  <si>
    <t>Lowest yearly CO2 emissions generated (t)</t>
  </si>
  <si>
    <t>Highest yearly CO2 emissions generated (t)</t>
  </si>
  <si>
    <t>Average yearly CO2 emissions generated (t)</t>
  </si>
  <si>
    <t>Cost NMC</t>
  </si>
  <si>
    <t>Cost LFP</t>
  </si>
  <si>
    <t>Cost LTO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</si>
</sst>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164" formatCode="_ &quot;$&quot;* #,##0.0_ ;_ &quot;$&quot;* \-#,##0.0_ ;_ &quot;$&quot;* &quot;-&quot;_ ;_ @_ 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2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9">
    <xf numFmtId="0" fontId="0" fillId="0" borderId="0" xfId="0"/>
    <xf numFmtId="42" fontId="0" fillId="0" borderId="0" xfId="1" applyFont="1"/>
    <xf numFmtId="0" fontId="2" fillId="0" borderId="0" xfId="0" applyFont="1" applyAlignment="1">
      <alignment horizontal="center"/>
    </xf>
    <xf numFmtId="0" fontId="2" fillId="0" borderId="0" xfId="0" applyFont="1"/>
    <xf numFmtId="42" fontId="2" fillId="0" borderId="0" xfId="1" applyFont="1"/>
    <xf numFmtId="42" fontId="0" fillId="0" borderId="0" xfId="0" applyNumberFormat="1"/>
    <xf numFmtId="1" fontId="0" fillId="0" borderId="0" xfId="0" applyNumberFormat="1"/>
    <xf numFmtId="164" fontId="0" fillId="0" borderId="0" xfId="1" applyNumberFormat="1" applyFont="1" applyAlignment="1"/>
    <xf numFmtId="42" fontId="2" fillId="0" borderId="0" xfId="0" applyNumberFormat="1" applyFont="1"/>
    <xf numFmtId="42" fontId="2" fillId="0" borderId="0" xfId="0" applyNumberFormat="1" applyFont="1" applyAlignment="1">
      <alignment horizontal="center"/>
    </xf>
    <xf numFmtId="9" fontId="0" fillId="0" borderId="0" xfId="2" applyFont="1"/>
    <xf numFmtId="10" fontId="2" fillId="0" borderId="0" xfId="0" applyNumberFormat="1" applyFont="1"/>
    <xf numFmtId="2" fontId="2" fillId="0" borderId="0" xfId="1" applyNumberFormat="1" applyFont="1"/>
    <xf numFmtId="42" fontId="0" fillId="2" borderId="0" xfId="0" applyNumberFormat="1" applyFill="1"/>
    <xf numFmtId="0" fontId="0" fillId="2" borderId="0" xfId="0" applyFill="1"/>
    <xf numFmtId="0" fontId="2" fillId="0" borderId="0" xfId="0" applyFont="1" applyAlignment="1">
      <alignment horizontal="center"/>
    </xf>
    <xf numFmtId="0" fontId="0" fillId="0" borderId="0" xfId="0" applyFill="1"/>
    <xf numFmtId="42" fontId="0" fillId="0" borderId="0" xfId="0" applyNumberFormat="1" applyFill="1"/>
    <xf numFmtId="0" fontId="0" fillId="3" borderId="0" xfId="0" applyFill="1"/>
  </cellXfs>
  <cellStyles count="3">
    <cellStyle name="Moneda [0]" xfId="1" builtinId="7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14D7A-AB81-456B-B0DB-733EF237E819}">
  <dimension ref="B3:H26"/>
  <sheetViews>
    <sheetView workbookViewId="0">
      <selection activeCell="H20" sqref="H20"/>
    </sheetView>
  </sheetViews>
  <sheetFormatPr baseColWidth="10" defaultRowHeight="14.5" x14ac:dyDescent="0.35"/>
  <cols>
    <col min="2" max="2" width="12.90625" bestFit="1" customWidth="1"/>
    <col min="3" max="4" width="23.7265625" bestFit="1" customWidth="1"/>
    <col min="5" max="5" width="18.08984375" bestFit="1" customWidth="1"/>
    <col min="6" max="7" width="18.36328125" bestFit="1" customWidth="1"/>
    <col min="8" max="8" width="11.6328125" bestFit="1" customWidth="1"/>
  </cols>
  <sheetData>
    <row r="3" spans="2:8" x14ac:dyDescent="0.35">
      <c r="B3" s="15" t="s">
        <v>2</v>
      </c>
      <c r="C3" s="15"/>
      <c r="D3" s="15"/>
      <c r="E3" s="15"/>
      <c r="F3" s="15"/>
      <c r="G3" s="15"/>
    </row>
    <row r="4" spans="2:8" x14ac:dyDescent="0.35">
      <c r="C4" t="s">
        <v>7</v>
      </c>
      <c r="D4" t="s">
        <v>0</v>
      </c>
      <c r="E4" t="s">
        <v>1</v>
      </c>
      <c r="F4" t="s">
        <v>6</v>
      </c>
      <c r="G4" s="3" t="s">
        <v>8</v>
      </c>
    </row>
    <row r="5" spans="2:8" x14ac:dyDescent="0.35">
      <c r="B5" t="s">
        <v>3</v>
      </c>
      <c r="C5">
        <v>6300</v>
      </c>
      <c r="D5">
        <v>550</v>
      </c>
      <c r="E5">
        <v>750</v>
      </c>
      <c r="F5">
        <f>(D5+E5)/2</f>
        <v>650</v>
      </c>
      <c r="G5" s="4">
        <f>F5*C5</f>
        <v>4095000</v>
      </c>
    </row>
    <row r="6" spans="2:8" x14ac:dyDescent="0.35">
      <c r="B6" t="s">
        <v>4</v>
      </c>
      <c r="C6">
        <v>6300</v>
      </c>
      <c r="D6">
        <v>450</v>
      </c>
      <c r="E6">
        <v>600</v>
      </c>
      <c r="F6">
        <f t="shared" ref="F6:F7" si="0">(D6+E6)/2</f>
        <v>525</v>
      </c>
      <c r="G6" s="4">
        <f t="shared" ref="G6:G7" si="1">F6*C6</f>
        <v>3307500</v>
      </c>
    </row>
    <row r="7" spans="2:8" x14ac:dyDescent="0.35">
      <c r="B7" t="s">
        <v>5</v>
      </c>
      <c r="C7">
        <v>6300</v>
      </c>
      <c r="D7">
        <v>900</v>
      </c>
      <c r="E7">
        <v>1200</v>
      </c>
      <c r="F7">
        <f t="shared" si="0"/>
        <v>1050</v>
      </c>
      <c r="G7" s="4">
        <f t="shared" si="1"/>
        <v>6615000</v>
      </c>
    </row>
    <row r="8" spans="2:8" x14ac:dyDescent="0.35">
      <c r="B8" s="15" t="s">
        <v>9</v>
      </c>
      <c r="C8" s="15"/>
      <c r="D8" s="15"/>
      <c r="E8" s="15"/>
      <c r="F8" s="15"/>
      <c r="G8" s="15"/>
    </row>
    <row r="9" spans="2:8" x14ac:dyDescent="0.35">
      <c r="B9" t="s">
        <v>10</v>
      </c>
      <c r="C9" t="s">
        <v>11</v>
      </c>
      <c r="D9" t="s">
        <v>19</v>
      </c>
      <c r="E9" t="s">
        <v>17</v>
      </c>
      <c r="F9" t="s">
        <v>18</v>
      </c>
      <c r="G9" s="3" t="s">
        <v>8</v>
      </c>
    </row>
    <row r="10" spans="2:8" x14ac:dyDescent="0.35">
      <c r="B10">
        <v>4</v>
      </c>
      <c r="C10">
        <v>250</v>
      </c>
      <c r="D10">
        <v>100</v>
      </c>
      <c r="E10">
        <v>150</v>
      </c>
      <c r="F10">
        <f>(D10+E10)/2</f>
        <v>125</v>
      </c>
      <c r="G10" s="4">
        <f>B10*C10*F10</f>
        <v>125000</v>
      </c>
    </row>
    <row r="11" spans="2:8" x14ac:dyDescent="0.35">
      <c r="B11" s="15" t="s">
        <v>12</v>
      </c>
      <c r="C11" s="15"/>
      <c r="D11" s="15"/>
      <c r="E11" s="15"/>
      <c r="F11" s="15"/>
      <c r="G11" s="15"/>
    </row>
    <row r="12" spans="2:8" x14ac:dyDescent="0.35">
      <c r="C12" t="s">
        <v>10</v>
      </c>
      <c r="D12" t="s">
        <v>11</v>
      </c>
      <c r="E12" t="s">
        <v>19</v>
      </c>
      <c r="F12" t="s">
        <v>17</v>
      </c>
      <c r="G12" t="s">
        <v>18</v>
      </c>
      <c r="H12" s="3" t="s">
        <v>8</v>
      </c>
    </row>
    <row r="13" spans="2:8" x14ac:dyDescent="0.35">
      <c r="B13" t="s">
        <v>13</v>
      </c>
      <c r="C13">
        <v>2</v>
      </c>
      <c r="D13">
        <v>500</v>
      </c>
      <c r="E13">
        <v>120</v>
      </c>
      <c r="F13">
        <v>180</v>
      </c>
      <c r="G13">
        <f>(E13+F13)/2</f>
        <v>150</v>
      </c>
      <c r="H13" s="4">
        <f>C13*D13*G13</f>
        <v>150000</v>
      </c>
    </row>
    <row r="14" spans="2:8" x14ac:dyDescent="0.35">
      <c r="B14" t="s">
        <v>14</v>
      </c>
      <c r="C14">
        <v>2</v>
      </c>
      <c r="D14">
        <v>1000</v>
      </c>
      <c r="E14">
        <v>120</v>
      </c>
      <c r="F14">
        <v>180</v>
      </c>
      <c r="G14">
        <f>(E14+F14)/2</f>
        <v>150</v>
      </c>
      <c r="H14" s="4">
        <f>C14*D14*G14</f>
        <v>300000</v>
      </c>
    </row>
    <row r="15" spans="2:8" x14ac:dyDescent="0.35">
      <c r="B15" s="15" t="s">
        <v>15</v>
      </c>
      <c r="C15" s="15"/>
      <c r="D15" s="15"/>
      <c r="E15" s="15"/>
      <c r="F15" s="15"/>
      <c r="G15" s="15"/>
      <c r="H15" s="3"/>
    </row>
    <row r="16" spans="2:8" x14ac:dyDescent="0.35">
      <c r="C16" t="s">
        <v>10</v>
      </c>
      <c r="D16" t="s">
        <v>11</v>
      </c>
      <c r="E16" t="s">
        <v>19</v>
      </c>
      <c r="F16" t="s">
        <v>17</v>
      </c>
      <c r="G16" t="s">
        <v>18</v>
      </c>
      <c r="H16" s="3" t="s">
        <v>8</v>
      </c>
    </row>
    <row r="17" spans="2:8" x14ac:dyDescent="0.35">
      <c r="C17">
        <v>1</v>
      </c>
      <c r="D17">
        <v>2000</v>
      </c>
      <c r="E17">
        <v>75</v>
      </c>
      <c r="F17">
        <v>750</v>
      </c>
      <c r="G17">
        <f>(E17+F17)/2</f>
        <v>412.5</v>
      </c>
      <c r="H17" s="4">
        <f>C17*D17*G17</f>
        <v>825000</v>
      </c>
    </row>
    <row r="18" spans="2:8" x14ac:dyDescent="0.35">
      <c r="B18" s="15" t="s">
        <v>16</v>
      </c>
      <c r="C18" s="15"/>
      <c r="D18" s="15"/>
      <c r="E18" s="15"/>
      <c r="F18" s="15"/>
      <c r="G18" s="15"/>
    </row>
    <row r="19" spans="2:8" x14ac:dyDescent="0.35">
      <c r="C19" t="s">
        <v>10</v>
      </c>
      <c r="D19" t="s">
        <v>11</v>
      </c>
      <c r="E19" t="s">
        <v>19</v>
      </c>
      <c r="F19" t="s">
        <v>17</v>
      </c>
      <c r="G19" t="s">
        <v>18</v>
      </c>
      <c r="H19" s="3" t="s">
        <v>8</v>
      </c>
    </row>
    <row r="20" spans="2:8" x14ac:dyDescent="0.35">
      <c r="B20" t="s">
        <v>16</v>
      </c>
      <c r="C20">
        <v>2</v>
      </c>
      <c r="D20">
        <v>1000</v>
      </c>
      <c r="E20">
        <v>90</v>
      </c>
      <c r="F20">
        <v>250</v>
      </c>
      <c r="G20">
        <f>(E20+F20)/2</f>
        <v>170</v>
      </c>
      <c r="H20" s="4">
        <f>C20*D20*G20</f>
        <v>340000</v>
      </c>
    </row>
    <row r="21" spans="2:8" x14ac:dyDescent="0.35">
      <c r="B21" s="15" t="s">
        <v>20</v>
      </c>
      <c r="C21" s="15"/>
      <c r="D21" s="15"/>
      <c r="E21" s="15"/>
      <c r="F21" s="15"/>
      <c r="G21" s="15"/>
    </row>
    <row r="22" spans="2:8" x14ac:dyDescent="0.35">
      <c r="E22" t="s">
        <v>22</v>
      </c>
      <c r="F22" t="s">
        <v>23</v>
      </c>
      <c r="G22" t="s">
        <v>24</v>
      </c>
      <c r="H22" s="3" t="s">
        <v>8</v>
      </c>
    </row>
    <row r="23" spans="2:8" x14ac:dyDescent="0.35">
      <c r="E23" s="1">
        <v>100000</v>
      </c>
      <c r="F23" s="1">
        <v>175000</v>
      </c>
      <c r="G23" s="1">
        <f>(E23+F23)/2</f>
        <v>137500</v>
      </c>
      <c r="H23" s="4">
        <f>G23</f>
        <v>137500</v>
      </c>
    </row>
    <row r="24" spans="2:8" x14ac:dyDescent="0.35">
      <c r="B24" s="15" t="s">
        <v>21</v>
      </c>
      <c r="C24" s="15"/>
      <c r="D24" s="15"/>
      <c r="E24" s="15"/>
      <c r="F24" s="15"/>
      <c r="G24" s="15"/>
    </row>
    <row r="25" spans="2:8" x14ac:dyDescent="0.35">
      <c r="E25" t="s">
        <v>22</v>
      </c>
      <c r="F25" t="s">
        <v>23</v>
      </c>
      <c r="G25" t="s">
        <v>24</v>
      </c>
      <c r="H25" s="3" t="s">
        <v>8</v>
      </c>
    </row>
    <row r="26" spans="2:8" x14ac:dyDescent="0.35">
      <c r="E26" s="1">
        <v>50000</v>
      </c>
      <c r="F26" s="1">
        <v>80000</v>
      </c>
      <c r="G26" s="1">
        <f>(E26+F26)/2</f>
        <v>65000</v>
      </c>
      <c r="H26" s="4">
        <f>G26</f>
        <v>65000</v>
      </c>
    </row>
  </sheetData>
  <mergeCells count="7">
    <mergeCell ref="B18:G18"/>
    <mergeCell ref="B21:G21"/>
    <mergeCell ref="B24:G24"/>
    <mergeCell ref="B3:G3"/>
    <mergeCell ref="B8:G8"/>
    <mergeCell ref="B11:G11"/>
    <mergeCell ref="B15:G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A8CAA-C5C8-4FF3-BA68-5F71D3D769DB}">
  <dimension ref="B3:I17"/>
  <sheetViews>
    <sheetView workbookViewId="0">
      <selection activeCell="F22" sqref="F22"/>
    </sheetView>
  </sheetViews>
  <sheetFormatPr baseColWidth="10" defaultRowHeight="14.5" x14ac:dyDescent="0.35"/>
  <cols>
    <col min="2" max="2" width="43.453125" bestFit="1" customWidth="1"/>
    <col min="3" max="3" width="12.1796875" bestFit="1" customWidth="1"/>
    <col min="5" max="5" width="25.453125" bestFit="1" customWidth="1"/>
    <col min="6" max="6" width="12.1796875" bestFit="1" customWidth="1"/>
    <col min="8" max="8" width="25.453125" bestFit="1" customWidth="1"/>
    <col min="9" max="9" width="12.1796875" bestFit="1" customWidth="1"/>
  </cols>
  <sheetData>
    <row r="3" spans="2:9" x14ac:dyDescent="0.35">
      <c r="B3" s="15" t="s">
        <v>3</v>
      </c>
      <c r="C3" s="15"/>
      <c r="E3" s="15" t="s">
        <v>4</v>
      </c>
      <c r="F3" s="15"/>
      <c r="H3" s="15" t="s">
        <v>5</v>
      </c>
      <c r="I3" s="15"/>
    </row>
    <row r="4" spans="2:9" x14ac:dyDescent="0.35">
      <c r="B4" t="s">
        <v>25</v>
      </c>
      <c r="C4" s="5">
        <f>'Costs 25%'!G5</f>
        <v>4095000</v>
      </c>
      <c r="E4" t="s">
        <v>25</v>
      </c>
      <c r="F4" s="5">
        <f>'Costs 25%'!G6</f>
        <v>3307500</v>
      </c>
      <c r="H4" t="s">
        <v>25</v>
      </c>
      <c r="I4" s="5">
        <f>'Costs 25%'!G7</f>
        <v>6615000</v>
      </c>
    </row>
    <row r="5" spans="2:9" x14ac:dyDescent="0.35">
      <c r="B5" t="s">
        <v>26</v>
      </c>
      <c r="C5" s="5">
        <f>'Costs 25%'!$G$10</f>
        <v>125000</v>
      </c>
      <c r="E5" t="s">
        <v>26</v>
      </c>
      <c r="F5" s="5">
        <f>'Costs 25%'!$G$10</f>
        <v>125000</v>
      </c>
      <c r="H5" t="s">
        <v>26</v>
      </c>
      <c r="I5" s="5">
        <f>'Costs 25%'!$G$10</f>
        <v>125000</v>
      </c>
    </row>
    <row r="6" spans="2:9" x14ac:dyDescent="0.35">
      <c r="B6" t="s">
        <v>27</v>
      </c>
      <c r="C6" s="5">
        <f>'Costs 25%'!$H$13+'Costs 25%'!$H$14</f>
        <v>450000</v>
      </c>
      <c r="E6" t="s">
        <v>27</v>
      </c>
      <c r="F6" s="5">
        <f>'Costs 25%'!$H$13+'Costs 25%'!$H$14</f>
        <v>450000</v>
      </c>
      <c r="H6" t="s">
        <v>27</v>
      </c>
      <c r="I6" s="5">
        <f>'Costs 25%'!$H$13+'Costs 25%'!$H$14</f>
        <v>450000</v>
      </c>
    </row>
    <row r="7" spans="2:9" x14ac:dyDescent="0.35">
      <c r="B7" t="s">
        <v>15</v>
      </c>
      <c r="C7" s="5">
        <f>'Costs 25%'!$H$17</f>
        <v>825000</v>
      </c>
      <c r="E7" t="s">
        <v>15</v>
      </c>
      <c r="F7" s="5">
        <f>'Costs 25%'!$H$17</f>
        <v>825000</v>
      </c>
      <c r="H7" t="s">
        <v>15</v>
      </c>
      <c r="I7" s="5">
        <f>'Costs 25%'!$H$17</f>
        <v>825000</v>
      </c>
    </row>
    <row r="8" spans="2:9" x14ac:dyDescent="0.35">
      <c r="B8" t="s">
        <v>16</v>
      </c>
      <c r="C8" s="5">
        <f>'Costs 25%'!$H$20</f>
        <v>340000</v>
      </c>
      <c r="E8" t="s">
        <v>16</v>
      </c>
      <c r="F8" s="5">
        <f>'Costs 25%'!$H$20</f>
        <v>340000</v>
      </c>
      <c r="H8" t="s">
        <v>16</v>
      </c>
      <c r="I8" s="5">
        <f>'Costs 25%'!$H$20</f>
        <v>340000</v>
      </c>
    </row>
    <row r="9" spans="2:9" x14ac:dyDescent="0.35">
      <c r="B9" t="s">
        <v>28</v>
      </c>
      <c r="C9" s="5">
        <f>'Costs 25%'!$H$23</f>
        <v>137500</v>
      </c>
      <c r="E9" t="s">
        <v>28</v>
      </c>
      <c r="F9" s="5">
        <f>'Costs 25%'!$H$23</f>
        <v>137500</v>
      </c>
      <c r="H9" t="s">
        <v>28</v>
      </c>
      <c r="I9" s="5">
        <f>'Costs 25%'!$H$23</f>
        <v>137500</v>
      </c>
    </row>
    <row r="10" spans="2:9" x14ac:dyDescent="0.35">
      <c r="B10" t="s">
        <v>29</v>
      </c>
      <c r="C10" s="5">
        <f>'Costs 25%'!$H$26</f>
        <v>65000</v>
      </c>
      <c r="E10" t="s">
        <v>29</v>
      </c>
      <c r="F10" s="5">
        <f>'Costs 25%'!$H$26</f>
        <v>65000</v>
      </c>
      <c r="H10" t="s">
        <v>29</v>
      </c>
      <c r="I10" s="5">
        <f>'Costs 25%'!$H$26</f>
        <v>65000</v>
      </c>
    </row>
    <row r="11" spans="2:9" x14ac:dyDescent="0.35">
      <c r="B11" s="3" t="s">
        <v>66</v>
      </c>
      <c r="C11" s="8">
        <f>SUM(C4:C10)</f>
        <v>6037500</v>
      </c>
      <c r="E11" s="3" t="s">
        <v>66</v>
      </c>
      <c r="F11" s="8">
        <f>SUM(F4:F10)</f>
        <v>5250000</v>
      </c>
      <c r="H11" s="3" t="s">
        <v>66</v>
      </c>
      <c r="I11" s="8">
        <f>SUM(I4:I10)</f>
        <v>8557500</v>
      </c>
    </row>
    <row r="12" spans="2:9" x14ac:dyDescent="0.35">
      <c r="B12" s="14" t="s">
        <v>64</v>
      </c>
      <c r="C12" s="1">
        <f>C11*C17</f>
        <v>0</v>
      </c>
      <c r="E12" s="14" t="s">
        <v>64</v>
      </c>
      <c r="F12" s="1">
        <f>F11*C17</f>
        <v>0</v>
      </c>
      <c r="H12" s="14" t="s">
        <v>64</v>
      </c>
      <c r="I12" s="1">
        <f>I11*C17</f>
        <v>0</v>
      </c>
    </row>
    <row r="13" spans="2:9" x14ac:dyDescent="0.35">
      <c r="B13" s="3" t="s">
        <v>65</v>
      </c>
      <c r="C13" s="8">
        <f>C11-C12</f>
        <v>6037500</v>
      </c>
      <c r="E13" s="3" t="s">
        <v>65</v>
      </c>
      <c r="F13" s="8">
        <f>F11-F12</f>
        <v>5250000</v>
      </c>
      <c r="H13" s="3" t="s">
        <v>65</v>
      </c>
      <c r="I13" s="8">
        <f>I11-I12</f>
        <v>8557500</v>
      </c>
    </row>
    <row r="17" spans="2:3" x14ac:dyDescent="0.35">
      <c r="B17" s="14" t="s">
        <v>67</v>
      </c>
      <c r="C17" s="10">
        <v>0</v>
      </c>
    </row>
  </sheetData>
  <mergeCells count="3">
    <mergeCell ref="B3:C3"/>
    <mergeCell ref="E3:F3"/>
    <mergeCell ref="H3:I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F4CD5-5B27-45B4-BE42-4FE58799A9A6}">
  <dimension ref="B2:F19"/>
  <sheetViews>
    <sheetView workbookViewId="0">
      <selection activeCell="F15" sqref="F15"/>
    </sheetView>
  </sheetViews>
  <sheetFormatPr baseColWidth="10" defaultRowHeight="14.5" x14ac:dyDescent="0.35"/>
  <cols>
    <col min="2" max="2" width="36.08984375" bestFit="1" customWidth="1"/>
    <col min="3" max="3" width="18.7265625" bestFit="1" customWidth="1"/>
    <col min="5" max="5" width="36.08984375" bestFit="1" customWidth="1"/>
  </cols>
  <sheetData>
    <row r="2" spans="2:6" x14ac:dyDescent="0.35">
      <c r="B2" s="15" t="s">
        <v>30</v>
      </c>
      <c r="C2" s="15"/>
      <c r="E2" s="15" t="s">
        <v>34</v>
      </c>
      <c r="F2" s="15"/>
    </row>
    <row r="3" spans="2:6" x14ac:dyDescent="0.35">
      <c r="B3" t="s">
        <v>31</v>
      </c>
      <c r="C3" s="6">
        <f>5366*365</f>
        <v>1958590</v>
      </c>
      <c r="E3" t="s">
        <v>31</v>
      </c>
      <c r="F3" s="6">
        <f>1929*365</f>
        <v>704085</v>
      </c>
    </row>
    <row r="4" spans="2:6" x14ac:dyDescent="0.35">
      <c r="B4" t="s">
        <v>32</v>
      </c>
      <c r="C4" s="6">
        <f>6385*365</f>
        <v>2330525</v>
      </c>
      <c r="E4" t="s">
        <v>32</v>
      </c>
      <c r="F4" s="6">
        <f>4030*365</f>
        <v>1470950</v>
      </c>
    </row>
    <row r="5" spans="2:6" x14ac:dyDescent="0.35">
      <c r="B5" t="s">
        <v>33</v>
      </c>
      <c r="C5" s="6">
        <f>(C3+C4)/2</f>
        <v>2144557.5</v>
      </c>
      <c r="E5" t="s">
        <v>33</v>
      </c>
      <c r="F5">
        <f>(F3+F4)/2</f>
        <v>1087517.5</v>
      </c>
    </row>
    <row r="6" spans="2:6" x14ac:dyDescent="0.35">
      <c r="B6" t="s">
        <v>68</v>
      </c>
      <c r="C6">
        <f>14.3*365</f>
        <v>5219.5</v>
      </c>
      <c r="E6" t="s">
        <v>68</v>
      </c>
      <c r="F6">
        <f>5.1*365</f>
        <v>1861.4999999999998</v>
      </c>
    </row>
    <row r="7" spans="2:6" x14ac:dyDescent="0.35">
      <c r="B7" t="s">
        <v>69</v>
      </c>
      <c r="C7">
        <f>17*365</f>
        <v>6205</v>
      </c>
      <c r="E7" t="s">
        <v>69</v>
      </c>
      <c r="F7">
        <f>10.8*365</f>
        <v>3942.0000000000005</v>
      </c>
    </row>
    <row r="8" spans="2:6" x14ac:dyDescent="0.35">
      <c r="B8" t="s">
        <v>70</v>
      </c>
      <c r="C8">
        <f>(C6+C7)/2</f>
        <v>5712.25</v>
      </c>
      <c r="E8" t="s">
        <v>70</v>
      </c>
      <c r="F8">
        <f>(F6+F7)/2</f>
        <v>2901.75</v>
      </c>
    </row>
    <row r="9" spans="2:6" x14ac:dyDescent="0.35">
      <c r="B9" t="s">
        <v>35</v>
      </c>
      <c r="C9" s="7">
        <f>0.8</f>
        <v>0.8</v>
      </c>
      <c r="E9" t="s">
        <v>35</v>
      </c>
      <c r="F9" s="7">
        <f>0.8</f>
        <v>0.8</v>
      </c>
    </row>
    <row r="10" spans="2:6" x14ac:dyDescent="0.35">
      <c r="B10" s="3" t="s">
        <v>36</v>
      </c>
      <c r="C10" s="4">
        <f>C5*C9</f>
        <v>1715646</v>
      </c>
      <c r="E10" s="3" t="s">
        <v>36</v>
      </c>
      <c r="F10" s="4">
        <f>F5*F9</f>
        <v>870014</v>
      </c>
    </row>
    <row r="11" spans="2:6" x14ac:dyDescent="0.35">
      <c r="B11" t="s">
        <v>37</v>
      </c>
      <c r="C11" s="1">
        <v>0</v>
      </c>
      <c r="E11" t="s">
        <v>37</v>
      </c>
      <c r="F11" s="1">
        <v>30000</v>
      </c>
    </row>
    <row r="12" spans="2:6" x14ac:dyDescent="0.35">
      <c r="B12" t="s">
        <v>38</v>
      </c>
      <c r="C12" s="1">
        <v>40000</v>
      </c>
      <c r="E12" t="s">
        <v>38</v>
      </c>
      <c r="F12" s="1">
        <v>20000</v>
      </c>
    </row>
    <row r="13" spans="2:6" x14ac:dyDescent="0.35">
      <c r="B13" t="s">
        <v>39</v>
      </c>
      <c r="C13" s="1">
        <v>0</v>
      </c>
      <c r="E13" t="s">
        <v>39</v>
      </c>
      <c r="F13" s="1">
        <v>15000</v>
      </c>
    </row>
    <row r="14" spans="2:6" x14ac:dyDescent="0.35">
      <c r="B14" s="18" t="s">
        <v>63</v>
      </c>
      <c r="C14" s="1">
        <f>50*C8*0</f>
        <v>0</v>
      </c>
      <c r="E14" s="18" t="s">
        <v>63</v>
      </c>
      <c r="F14" s="1">
        <f>50*F8*0</f>
        <v>0</v>
      </c>
    </row>
    <row r="15" spans="2:6" x14ac:dyDescent="0.35">
      <c r="B15" s="2" t="s">
        <v>40</v>
      </c>
      <c r="C15" s="9">
        <f>SUM(C10:C14)</f>
        <v>1755646</v>
      </c>
      <c r="E15" s="2" t="s">
        <v>40</v>
      </c>
      <c r="F15" s="9">
        <f>SUM(F10:F14)</f>
        <v>935014</v>
      </c>
    </row>
    <row r="17" spans="2:3" x14ac:dyDescent="0.35">
      <c r="B17" t="s">
        <v>41</v>
      </c>
      <c r="C17" s="5">
        <f>C15</f>
        <v>1755646</v>
      </c>
    </row>
    <row r="18" spans="2:3" x14ac:dyDescent="0.35">
      <c r="B18" t="s">
        <v>42</v>
      </c>
      <c r="C18" s="5">
        <f>F15</f>
        <v>935014</v>
      </c>
    </row>
    <row r="19" spans="2:3" x14ac:dyDescent="0.35">
      <c r="B19" s="3" t="s">
        <v>43</v>
      </c>
      <c r="C19" s="8">
        <f>C17-C18</f>
        <v>820632</v>
      </c>
    </row>
  </sheetData>
  <mergeCells count="2">
    <mergeCell ref="B2:C2"/>
    <mergeCell ref="E2:F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48CD0-5187-4E9B-AB88-218957DBEFDE}">
  <dimension ref="B2:L13"/>
  <sheetViews>
    <sheetView workbookViewId="0">
      <selection activeCell="C4" sqref="C4"/>
    </sheetView>
  </sheetViews>
  <sheetFormatPr baseColWidth="10" defaultRowHeight="14.5" x14ac:dyDescent="0.35"/>
  <cols>
    <col min="2" max="2" width="15.36328125" bestFit="1" customWidth="1"/>
    <col min="9" max="9" width="11.26953125" bestFit="1" customWidth="1"/>
  </cols>
  <sheetData>
    <row r="2" spans="2:12" x14ac:dyDescent="0.35">
      <c r="B2" t="s">
        <v>44</v>
      </c>
      <c r="C2">
        <v>20</v>
      </c>
      <c r="E2" t="s">
        <v>49</v>
      </c>
      <c r="F2" s="5">
        <f>'CAPEX 25%'!C13</f>
        <v>6037500</v>
      </c>
      <c r="H2" s="3" t="s">
        <v>48</v>
      </c>
      <c r="I2" s="8">
        <f>SUM(C9:L9)+SUM(C13:L13)-F2</f>
        <v>949002.82247290574</v>
      </c>
    </row>
    <row r="3" spans="2:12" x14ac:dyDescent="0.35">
      <c r="B3" t="s">
        <v>46</v>
      </c>
      <c r="C3" s="10">
        <v>0.1</v>
      </c>
      <c r="E3" t="s">
        <v>50</v>
      </c>
      <c r="F3" s="5">
        <f>'CAPEX 25%'!F13</f>
        <v>5250000</v>
      </c>
      <c r="H3" s="3" t="s">
        <v>52</v>
      </c>
      <c r="I3" s="8">
        <f>SUM(C9:L9)+SUM(C13:L13)-F3</f>
        <v>1736502.8224729057</v>
      </c>
    </row>
    <row r="4" spans="2:12" x14ac:dyDescent="0.35">
      <c r="B4" t="s">
        <v>45</v>
      </c>
      <c r="C4" s="5">
        <f>'OPEX 25%'!C19</f>
        <v>820632</v>
      </c>
      <c r="E4" t="s">
        <v>51</v>
      </c>
      <c r="F4" s="5">
        <f>'CAPEX 25%'!I13</f>
        <v>8557500</v>
      </c>
      <c r="H4" s="3" t="s">
        <v>53</v>
      </c>
      <c r="I4" s="8">
        <f>SUM(C9:L9)+SUM(C13:L13)-F4</f>
        <v>-1570997.1775270943</v>
      </c>
    </row>
    <row r="7" spans="2:12" x14ac:dyDescent="0.35">
      <c r="C7" s="15" t="s">
        <v>47</v>
      </c>
      <c r="D7" s="15"/>
      <c r="E7" s="15"/>
      <c r="F7" s="15"/>
      <c r="G7" s="15"/>
      <c r="H7" s="15"/>
      <c r="I7" s="15"/>
      <c r="J7" s="15"/>
      <c r="K7" s="15"/>
      <c r="L7" s="15"/>
    </row>
    <row r="8" spans="2:12" x14ac:dyDescent="0.35">
      <c r="C8">
        <v>1</v>
      </c>
      <c r="D8">
        <v>2</v>
      </c>
      <c r="E8">
        <v>3</v>
      </c>
      <c r="F8">
        <v>4</v>
      </c>
      <c r="G8">
        <v>5</v>
      </c>
      <c r="H8">
        <v>6</v>
      </c>
      <c r="I8">
        <v>7</v>
      </c>
      <c r="J8">
        <v>8</v>
      </c>
      <c r="K8">
        <v>9</v>
      </c>
      <c r="L8">
        <v>10</v>
      </c>
    </row>
    <row r="9" spans="2:12" x14ac:dyDescent="0.35">
      <c r="C9" s="5">
        <f>$C$4/((1+$C$3)^C8)</f>
        <v>746029.09090909082</v>
      </c>
      <c r="D9" s="5">
        <f t="shared" ref="C9:L9" si="0">$C$4/((1+$C$3)^D8)</f>
        <v>678208.26446280978</v>
      </c>
      <c r="E9" s="5">
        <f t="shared" si="0"/>
        <v>616552.96769346332</v>
      </c>
      <c r="F9" s="5">
        <f t="shared" si="0"/>
        <v>560502.69790314848</v>
      </c>
      <c r="G9" s="5">
        <f t="shared" si="0"/>
        <v>509547.90718468046</v>
      </c>
      <c r="H9" s="5">
        <f t="shared" si="0"/>
        <v>463225.37016789126</v>
      </c>
      <c r="I9" s="5">
        <f t="shared" si="0"/>
        <v>421113.97287990106</v>
      </c>
      <c r="J9" s="5">
        <f t="shared" si="0"/>
        <v>382830.88443627377</v>
      </c>
      <c r="K9" s="5">
        <f t="shared" si="0"/>
        <v>348028.0767602488</v>
      </c>
      <c r="L9" s="5">
        <f t="shared" si="0"/>
        <v>316389.16069113527</v>
      </c>
    </row>
    <row r="12" spans="2:12" x14ac:dyDescent="0.35">
      <c r="C12">
        <v>11</v>
      </c>
      <c r="D12">
        <v>12</v>
      </c>
      <c r="E12">
        <v>13</v>
      </c>
      <c r="F12">
        <v>14</v>
      </c>
      <c r="G12">
        <v>15</v>
      </c>
      <c r="H12">
        <v>16</v>
      </c>
      <c r="I12">
        <v>17</v>
      </c>
      <c r="J12">
        <v>18</v>
      </c>
      <c r="K12">
        <v>19</v>
      </c>
      <c r="L12">
        <v>20</v>
      </c>
    </row>
    <row r="13" spans="2:12" x14ac:dyDescent="0.35">
      <c r="C13" s="5">
        <f t="shared" ref="C13:L13" si="1">$C$4/((1+$C$3)^C12)</f>
        <v>287626.50971921382</v>
      </c>
      <c r="D13" s="5">
        <f t="shared" si="1"/>
        <v>261478.64519928533</v>
      </c>
      <c r="E13" s="5">
        <f t="shared" si="1"/>
        <v>237707.85927207756</v>
      </c>
      <c r="F13" s="5">
        <f t="shared" si="1"/>
        <v>216098.05388370683</v>
      </c>
      <c r="G13" s="5">
        <f t="shared" si="1"/>
        <v>196452.77625791531</v>
      </c>
      <c r="H13" s="5">
        <f t="shared" si="1"/>
        <v>178593.43296174117</v>
      </c>
      <c r="I13" s="5">
        <f t="shared" si="1"/>
        <v>162357.66632885562</v>
      </c>
      <c r="J13" s="5">
        <f t="shared" si="1"/>
        <v>147597.87848077781</v>
      </c>
      <c r="K13" s="5">
        <f t="shared" si="1"/>
        <v>134179.8895279798</v>
      </c>
      <c r="L13" s="5">
        <f t="shared" si="1"/>
        <v>121981.71775270892</v>
      </c>
    </row>
  </sheetData>
  <mergeCells count="1">
    <mergeCell ref="C7:L7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641AB-FA05-4689-970F-41940E5E4D56}">
  <dimension ref="B2:V19"/>
  <sheetViews>
    <sheetView workbookViewId="0">
      <selection activeCell="C2" sqref="C2"/>
    </sheetView>
  </sheetViews>
  <sheetFormatPr baseColWidth="10" defaultRowHeight="14.5" x14ac:dyDescent="0.35"/>
  <cols>
    <col min="2" max="2" width="15.36328125" bestFit="1" customWidth="1"/>
    <col min="9" max="9" width="11.26953125" bestFit="1" customWidth="1"/>
  </cols>
  <sheetData>
    <row r="2" spans="2:22" x14ac:dyDescent="0.35">
      <c r="B2" t="s">
        <v>45</v>
      </c>
      <c r="C2" s="5">
        <f>'OPEX 25%'!C19</f>
        <v>820632</v>
      </c>
      <c r="E2" s="3" t="s">
        <v>54</v>
      </c>
      <c r="F2" s="11">
        <f>IRR(B9:V9)</f>
        <v>0.12242942493009346</v>
      </c>
    </row>
    <row r="3" spans="2:22" x14ac:dyDescent="0.35">
      <c r="C3" s="10"/>
      <c r="E3" s="3" t="s">
        <v>58</v>
      </c>
      <c r="F3" s="11">
        <f>IRR(B14:V14)</f>
        <v>0.14608635113200341</v>
      </c>
    </row>
    <row r="4" spans="2:22" x14ac:dyDescent="0.35">
      <c r="E4" s="3" t="s">
        <v>59</v>
      </c>
      <c r="F4" s="11">
        <f>IRR(B19:V19)</f>
        <v>7.2041989418216046E-2</v>
      </c>
    </row>
    <row r="7" spans="2:22" x14ac:dyDescent="0.35">
      <c r="C7" s="15" t="s">
        <v>55</v>
      </c>
      <c r="D7" s="15"/>
      <c r="E7" s="15"/>
      <c r="F7" s="15"/>
      <c r="G7" s="15"/>
      <c r="H7" s="15"/>
      <c r="I7" s="15"/>
      <c r="J7" s="15"/>
      <c r="K7" s="15"/>
      <c r="L7" s="15"/>
    </row>
    <row r="8" spans="2:22" x14ac:dyDescent="0.35">
      <c r="B8">
        <v>0</v>
      </c>
      <c r="C8">
        <v>1</v>
      </c>
      <c r="D8">
        <v>2</v>
      </c>
      <c r="E8">
        <v>3</v>
      </c>
      <c r="F8">
        <v>4</v>
      </c>
      <c r="G8">
        <v>5</v>
      </c>
      <c r="H8">
        <v>6</v>
      </c>
      <c r="I8">
        <v>7</v>
      </c>
      <c r="J8">
        <v>8</v>
      </c>
      <c r="K8">
        <v>9</v>
      </c>
      <c r="L8">
        <v>10</v>
      </c>
      <c r="M8">
        <v>11</v>
      </c>
      <c r="N8">
        <v>12</v>
      </c>
      <c r="O8">
        <v>13</v>
      </c>
      <c r="P8">
        <v>14</v>
      </c>
      <c r="Q8">
        <v>15</v>
      </c>
      <c r="R8">
        <v>16</v>
      </c>
      <c r="S8">
        <v>17</v>
      </c>
      <c r="T8">
        <v>18</v>
      </c>
      <c r="U8">
        <v>19</v>
      </c>
      <c r="V8">
        <v>20</v>
      </c>
    </row>
    <row r="9" spans="2:22" x14ac:dyDescent="0.35">
      <c r="B9" s="5">
        <f>-'CAPEX 25%'!C13</f>
        <v>-6037500</v>
      </c>
      <c r="C9" s="5">
        <f t="shared" ref="C9:V9" si="0">$C$2</f>
        <v>820632</v>
      </c>
      <c r="D9" s="5">
        <f t="shared" si="0"/>
        <v>820632</v>
      </c>
      <c r="E9" s="5">
        <f t="shared" si="0"/>
        <v>820632</v>
      </c>
      <c r="F9" s="5">
        <f t="shared" si="0"/>
        <v>820632</v>
      </c>
      <c r="G9" s="5">
        <f t="shared" si="0"/>
        <v>820632</v>
      </c>
      <c r="H9" s="5">
        <f t="shared" si="0"/>
        <v>820632</v>
      </c>
      <c r="I9" s="5">
        <f t="shared" si="0"/>
        <v>820632</v>
      </c>
      <c r="J9" s="5">
        <f t="shared" si="0"/>
        <v>820632</v>
      </c>
      <c r="K9" s="5">
        <f t="shared" si="0"/>
        <v>820632</v>
      </c>
      <c r="L9" s="5">
        <f t="shared" si="0"/>
        <v>820632</v>
      </c>
      <c r="M9" s="5">
        <f t="shared" si="0"/>
        <v>820632</v>
      </c>
      <c r="N9" s="5">
        <f t="shared" si="0"/>
        <v>820632</v>
      </c>
      <c r="O9" s="5">
        <f t="shared" si="0"/>
        <v>820632</v>
      </c>
      <c r="P9" s="5">
        <f t="shared" si="0"/>
        <v>820632</v>
      </c>
      <c r="Q9" s="5">
        <f t="shared" si="0"/>
        <v>820632</v>
      </c>
      <c r="R9" s="5">
        <f t="shared" si="0"/>
        <v>820632</v>
      </c>
      <c r="S9" s="5">
        <f t="shared" si="0"/>
        <v>820632</v>
      </c>
      <c r="T9" s="5">
        <f t="shared" si="0"/>
        <v>820632</v>
      </c>
      <c r="U9" s="5">
        <f t="shared" si="0"/>
        <v>820632</v>
      </c>
      <c r="V9" s="5">
        <f t="shared" si="0"/>
        <v>820632</v>
      </c>
    </row>
    <row r="12" spans="2:22" x14ac:dyDescent="0.35">
      <c r="C12" s="15" t="s">
        <v>56</v>
      </c>
      <c r="D12" s="15"/>
      <c r="E12" s="15"/>
      <c r="F12" s="15"/>
      <c r="G12" s="15"/>
      <c r="H12" s="15"/>
      <c r="I12" s="15"/>
      <c r="J12" s="15"/>
      <c r="K12" s="15"/>
      <c r="L12" s="15"/>
    </row>
    <row r="13" spans="2:22" x14ac:dyDescent="0.35">
      <c r="B13">
        <v>0</v>
      </c>
      <c r="C13">
        <v>1</v>
      </c>
      <c r="D13">
        <v>2</v>
      </c>
      <c r="E13">
        <v>3</v>
      </c>
      <c r="F13">
        <v>4</v>
      </c>
      <c r="G13">
        <v>5</v>
      </c>
      <c r="H13">
        <v>6</v>
      </c>
      <c r="I13">
        <v>7</v>
      </c>
      <c r="J13">
        <v>8</v>
      </c>
      <c r="K13">
        <v>9</v>
      </c>
      <c r="L13">
        <v>10</v>
      </c>
      <c r="M13">
        <v>11</v>
      </c>
      <c r="N13">
        <v>12</v>
      </c>
      <c r="O13">
        <v>13</v>
      </c>
      <c r="P13">
        <v>14</v>
      </c>
      <c r="Q13">
        <v>15</v>
      </c>
      <c r="R13">
        <v>16</v>
      </c>
      <c r="S13">
        <v>17</v>
      </c>
      <c r="T13">
        <v>18</v>
      </c>
      <c r="U13">
        <v>19</v>
      </c>
      <c r="V13">
        <v>20</v>
      </c>
    </row>
    <row r="14" spans="2:22" x14ac:dyDescent="0.35">
      <c r="B14" s="5">
        <f>-'CAPEX 25%'!F13</f>
        <v>-5250000</v>
      </c>
      <c r="C14" s="5">
        <f t="shared" ref="C14:V14" si="1">$C$2</f>
        <v>820632</v>
      </c>
      <c r="D14" s="5">
        <f t="shared" si="1"/>
        <v>820632</v>
      </c>
      <c r="E14" s="5">
        <f t="shared" si="1"/>
        <v>820632</v>
      </c>
      <c r="F14" s="5">
        <f t="shared" si="1"/>
        <v>820632</v>
      </c>
      <c r="G14" s="5">
        <f t="shared" si="1"/>
        <v>820632</v>
      </c>
      <c r="H14" s="5">
        <f t="shared" si="1"/>
        <v>820632</v>
      </c>
      <c r="I14" s="5">
        <f t="shared" si="1"/>
        <v>820632</v>
      </c>
      <c r="J14" s="5">
        <f t="shared" si="1"/>
        <v>820632</v>
      </c>
      <c r="K14" s="5">
        <f t="shared" si="1"/>
        <v>820632</v>
      </c>
      <c r="L14" s="5">
        <f t="shared" si="1"/>
        <v>820632</v>
      </c>
      <c r="M14" s="5">
        <f t="shared" si="1"/>
        <v>820632</v>
      </c>
      <c r="N14" s="5">
        <f t="shared" si="1"/>
        <v>820632</v>
      </c>
      <c r="O14" s="5">
        <f t="shared" si="1"/>
        <v>820632</v>
      </c>
      <c r="P14" s="5">
        <f t="shared" si="1"/>
        <v>820632</v>
      </c>
      <c r="Q14" s="5">
        <f t="shared" si="1"/>
        <v>820632</v>
      </c>
      <c r="R14" s="5">
        <f t="shared" si="1"/>
        <v>820632</v>
      </c>
      <c r="S14" s="5">
        <f t="shared" si="1"/>
        <v>820632</v>
      </c>
      <c r="T14" s="5">
        <f t="shared" si="1"/>
        <v>820632</v>
      </c>
      <c r="U14" s="5">
        <f t="shared" si="1"/>
        <v>820632</v>
      </c>
      <c r="V14" s="5">
        <f t="shared" si="1"/>
        <v>820632</v>
      </c>
    </row>
    <row r="17" spans="2:22" x14ac:dyDescent="0.35">
      <c r="C17" s="15" t="s">
        <v>57</v>
      </c>
      <c r="D17" s="15"/>
      <c r="E17" s="15"/>
      <c r="F17" s="15"/>
      <c r="G17" s="15"/>
      <c r="H17" s="15"/>
      <c r="I17" s="15"/>
      <c r="J17" s="15"/>
      <c r="K17" s="15"/>
      <c r="L17" s="15"/>
    </row>
    <row r="18" spans="2:22" x14ac:dyDescent="0.35">
      <c r="B18">
        <v>0</v>
      </c>
      <c r="C18">
        <v>1</v>
      </c>
      <c r="D18">
        <v>2</v>
      </c>
      <c r="E18">
        <v>3</v>
      </c>
      <c r="F18">
        <v>4</v>
      </c>
      <c r="G18">
        <v>5</v>
      </c>
      <c r="H18">
        <v>6</v>
      </c>
      <c r="I18">
        <v>7</v>
      </c>
      <c r="J18">
        <v>8</v>
      </c>
      <c r="K18">
        <v>9</v>
      </c>
      <c r="L18">
        <v>10</v>
      </c>
      <c r="M18">
        <v>11</v>
      </c>
      <c r="N18">
        <v>12</v>
      </c>
      <c r="O18">
        <v>13</v>
      </c>
      <c r="P18">
        <v>14</v>
      </c>
      <c r="Q18">
        <v>15</v>
      </c>
      <c r="R18">
        <v>16</v>
      </c>
      <c r="S18">
        <v>17</v>
      </c>
      <c r="T18">
        <v>18</v>
      </c>
      <c r="U18">
        <v>19</v>
      </c>
      <c r="V18">
        <v>20</v>
      </c>
    </row>
    <row r="19" spans="2:22" x14ac:dyDescent="0.35">
      <c r="B19" s="5">
        <f>-'CAPEX 25%'!I13</f>
        <v>-8557500</v>
      </c>
      <c r="C19" s="5">
        <f>$C$2</f>
        <v>820632</v>
      </c>
      <c r="D19" s="5">
        <f t="shared" ref="C19:V19" si="2">$C$2</f>
        <v>820632</v>
      </c>
      <c r="E19" s="5">
        <f t="shared" si="2"/>
        <v>820632</v>
      </c>
      <c r="F19" s="5">
        <f t="shared" si="2"/>
        <v>820632</v>
      </c>
      <c r="G19" s="5">
        <f t="shared" si="2"/>
        <v>820632</v>
      </c>
      <c r="H19" s="5">
        <f t="shared" si="2"/>
        <v>820632</v>
      </c>
      <c r="I19" s="5">
        <f t="shared" si="2"/>
        <v>820632</v>
      </c>
      <c r="J19" s="5">
        <f t="shared" si="2"/>
        <v>820632</v>
      </c>
      <c r="K19" s="5">
        <f t="shared" si="2"/>
        <v>820632</v>
      </c>
      <c r="L19" s="5">
        <f t="shared" si="2"/>
        <v>820632</v>
      </c>
      <c r="M19" s="5">
        <f t="shared" si="2"/>
        <v>820632</v>
      </c>
      <c r="N19" s="5">
        <f t="shared" si="2"/>
        <v>820632</v>
      </c>
      <c r="O19" s="5">
        <f t="shared" si="2"/>
        <v>820632</v>
      </c>
      <c r="P19" s="5">
        <f t="shared" si="2"/>
        <v>820632</v>
      </c>
      <c r="Q19" s="5">
        <f t="shared" si="2"/>
        <v>820632</v>
      </c>
      <c r="R19" s="5">
        <f t="shared" si="2"/>
        <v>820632</v>
      </c>
      <c r="S19" s="5">
        <f t="shared" si="2"/>
        <v>820632</v>
      </c>
      <c r="T19" s="5">
        <f t="shared" si="2"/>
        <v>820632</v>
      </c>
      <c r="U19" s="5">
        <f t="shared" si="2"/>
        <v>820632</v>
      </c>
      <c r="V19" s="5">
        <f t="shared" si="2"/>
        <v>820632</v>
      </c>
    </row>
  </sheetData>
  <mergeCells count="3">
    <mergeCell ref="C7:L7"/>
    <mergeCell ref="C12:L12"/>
    <mergeCell ref="C17:L1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AEBD9-4AB4-44E4-A602-35786004721C}">
  <dimension ref="B2:L32"/>
  <sheetViews>
    <sheetView tabSelected="1" workbookViewId="0">
      <selection activeCell="E5" sqref="E5"/>
    </sheetView>
  </sheetViews>
  <sheetFormatPr baseColWidth="10" defaultRowHeight="14.5" x14ac:dyDescent="0.35"/>
  <cols>
    <col min="2" max="2" width="15.36328125" bestFit="1" customWidth="1"/>
    <col min="3" max="5" width="11.26953125" bestFit="1" customWidth="1"/>
    <col min="6" max="7" width="11.6328125" bestFit="1" customWidth="1"/>
    <col min="8" max="10" width="11.26953125" bestFit="1" customWidth="1"/>
    <col min="11" max="11" width="11.1796875" customWidth="1"/>
    <col min="12" max="12" width="11.6328125" bestFit="1" customWidth="1"/>
  </cols>
  <sheetData>
    <row r="2" spans="2:12" x14ac:dyDescent="0.35">
      <c r="B2" t="s">
        <v>44</v>
      </c>
      <c r="C2">
        <v>20</v>
      </c>
      <c r="E2" t="s">
        <v>71</v>
      </c>
      <c r="F2" s="5">
        <f>'CAPEX 25%'!C11</f>
        <v>6037500</v>
      </c>
      <c r="H2" s="3" t="s">
        <v>60</v>
      </c>
      <c r="I2" s="12">
        <f>F2/$C$4</f>
        <v>7.3571345012136984</v>
      </c>
    </row>
    <row r="3" spans="2:12" x14ac:dyDescent="0.35">
      <c r="B3" t="s">
        <v>46</v>
      </c>
      <c r="C3" s="10">
        <v>0.1</v>
      </c>
      <c r="E3" t="s">
        <v>72</v>
      </c>
      <c r="F3" s="5">
        <f>'CAPEX 25%'!F11</f>
        <v>5250000</v>
      </c>
      <c r="H3" s="3" t="s">
        <v>61</v>
      </c>
      <c r="I3" s="12">
        <f t="shared" ref="I3:I4" si="0">F3/$C$4</f>
        <v>6.3975082619249557</v>
      </c>
    </row>
    <row r="4" spans="2:12" x14ac:dyDescent="0.35">
      <c r="B4" t="s">
        <v>45</v>
      </c>
      <c r="C4" s="5">
        <f>'OPEX 25%'!C19</f>
        <v>820632</v>
      </c>
      <c r="E4" t="s">
        <v>73</v>
      </c>
      <c r="F4" s="5">
        <f>'CAPEX 25%'!I11</f>
        <v>8557500</v>
      </c>
      <c r="H4" s="3" t="s">
        <v>62</v>
      </c>
      <c r="I4" s="12">
        <f>F4/$C$4</f>
        <v>10.427938466937677</v>
      </c>
    </row>
    <row r="7" spans="2:12" x14ac:dyDescent="0.35">
      <c r="C7" s="15" t="s">
        <v>60</v>
      </c>
      <c r="D7" s="15"/>
      <c r="E7" s="15"/>
      <c r="F7" s="15"/>
      <c r="G7" s="15"/>
      <c r="H7" s="15"/>
      <c r="I7" s="15"/>
      <c r="J7" s="15"/>
      <c r="K7" s="15"/>
      <c r="L7" s="15"/>
    </row>
    <row r="8" spans="2:12" x14ac:dyDescent="0.35">
      <c r="B8">
        <v>0</v>
      </c>
      <c r="C8">
        <v>1</v>
      </c>
      <c r="D8">
        <v>2</v>
      </c>
      <c r="E8">
        <v>3</v>
      </c>
      <c r="F8">
        <v>4</v>
      </c>
      <c r="G8">
        <v>5</v>
      </c>
      <c r="H8">
        <v>6</v>
      </c>
      <c r="I8">
        <v>7</v>
      </c>
      <c r="J8" s="16">
        <v>8</v>
      </c>
      <c r="K8">
        <v>9</v>
      </c>
      <c r="L8">
        <v>10</v>
      </c>
    </row>
    <row r="9" spans="2:12" x14ac:dyDescent="0.35">
      <c r="B9" s="5">
        <f>-F2</f>
        <v>-6037500</v>
      </c>
      <c r="C9" s="5">
        <f t="shared" ref="C9:L9" si="1">$C$4/((1+$C$3)^C8)+B9</f>
        <v>-5291470.9090909092</v>
      </c>
      <c r="D9" s="5">
        <f t="shared" si="1"/>
        <v>-4613262.6446280992</v>
      </c>
      <c r="E9" s="5">
        <f t="shared" si="1"/>
        <v>-3996709.6769346357</v>
      </c>
      <c r="F9" s="5">
        <f t="shared" si="1"/>
        <v>-3436206.9790314874</v>
      </c>
      <c r="G9" s="5">
        <f t="shared" si="1"/>
        <v>-2926659.0718468069</v>
      </c>
      <c r="H9" s="5">
        <f t="shared" si="1"/>
        <v>-2463433.7016789159</v>
      </c>
      <c r="I9" s="5">
        <f t="shared" si="1"/>
        <v>-2042319.7287990148</v>
      </c>
      <c r="J9" s="17">
        <f t="shared" si="1"/>
        <v>-1659488.8443627411</v>
      </c>
      <c r="K9" s="5">
        <f t="shared" si="1"/>
        <v>-1311460.7676024924</v>
      </c>
      <c r="L9" s="5">
        <f t="shared" si="1"/>
        <v>-995071.60691135703</v>
      </c>
    </row>
    <row r="12" spans="2:12" x14ac:dyDescent="0.35">
      <c r="C12">
        <v>11</v>
      </c>
      <c r="D12">
        <v>12</v>
      </c>
      <c r="E12">
        <v>13</v>
      </c>
      <c r="F12" s="14">
        <v>14</v>
      </c>
      <c r="G12">
        <v>15</v>
      </c>
      <c r="H12">
        <v>16</v>
      </c>
      <c r="I12">
        <v>17</v>
      </c>
      <c r="J12">
        <v>18</v>
      </c>
      <c r="K12">
        <v>19</v>
      </c>
      <c r="L12">
        <v>20</v>
      </c>
    </row>
    <row r="13" spans="2:12" x14ac:dyDescent="0.35">
      <c r="C13" s="5">
        <f>$C$4/((1+$C$3)^C12)+L9</f>
        <v>-707445.09719214321</v>
      </c>
      <c r="D13" s="5">
        <f t="shared" ref="D13:L13" si="2">$C$4/((1+$C$3)^D12)+C13</f>
        <v>-445966.45199285785</v>
      </c>
      <c r="E13" s="5">
        <f t="shared" si="2"/>
        <v>-208258.59272078029</v>
      </c>
      <c r="F13" s="13">
        <f t="shared" si="2"/>
        <v>7839.4611629265419</v>
      </c>
      <c r="G13" s="5">
        <f t="shared" si="2"/>
        <v>204292.23742084185</v>
      </c>
      <c r="H13" s="5">
        <f t="shared" si="2"/>
        <v>382885.67038258305</v>
      </c>
      <c r="I13" s="5">
        <f t="shared" si="2"/>
        <v>545243.33671143861</v>
      </c>
      <c r="J13" s="5">
        <f t="shared" si="2"/>
        <v>692841.21519221645</v>
      </c>
      <c r="K13" s="5">
        <f t="shared" si="2"/>
        <v>827021.10472019622</v>
      </c>
      <c r="L13" s="5">
        <f t="shared" si="2"/>
        <v>949002.82247290516</v>
      </c>
    </row>
    <row r="16" spans="2:12" x14ac:dyDescent="0.35">
      <c r="C16" s="15" t="s">
        <v>61</v>
      </c>
      <c r="D16" s="15"/>
      <c r="E16" s="15"/>
      <c r="F16" s="15"/>
      <c r="G16" s="15"/>
      <c r="H16" s="15"/>
      <c r="I16" s="15"/>
      <c r="J16" s="15"/>
      <c r="K16" s="15"/>
      <c r="L16" s="15"/>
    </row>
    <row r="17" spans="2:12" x14ac:dyDescent="0.35">
      <c r="B17">
        <v>0</v>
      </c>
      <c r="C17">
        <v>1</v>
      </c>
      <c r="D17">
        <v>2</v>
      </c>
      <c r="E17">
        <v>3</v>
      </c>
      <c r="F17">
        <v>4</v>
      </c>
      <c r="G17">
        <v>5</v>
      </c>
      <c r="H17">
        <v>6</v>
      </c>
      <c r="I17" s="16">
        <v>7</v>
      </c>
      <c r="J17">
        <v>8</v>
      </c>
      <c r="K17">
        <v>9</v>
      </c>
      <c r="L17">
        <v>10</v>
      </c>
    </row>
    <row r="18" spans="2:12" x14ac:dyDescent="0.35">
      <c r="B18" s="5">
        <f>-F3</f>
        <v>-5250000</v>
      </c>
      <c r="C18" s="5">
        <f t="shared" ref="C18:L18" si="3">$C$4/((1+$C$3)^C17)+B18</f>
        <v>-4503970.9090909092</v>
      </c>
      <c r="D18" s="5">
        <f t="shared" si="3"/>
        <v>-3825762.6446280992</v>
      </c>
      <c r="E18" s="5">
        <f t="shared" si="3"/>
        <v>-3209209.6769346357</v>
      </c>
      <c r="F18" s="5">
        <f t="shared" si="3"/>
        <v>-2648706.9790314874</v>
      </c>
      <c r="G18" s="5">
        <f t="shared" si="3"/>
        <v>-2139159.0718468069</v>
      </c>
      <c r="H18" s="5">
        <f t="shared" si="3"/>
        <v>-1675933.7016789156</v>
      </c>
      <c r="I18" s="17">
        <f t="shared" si="3"/>
        <v>-1254819.7287990146</v>
      </c>
      <c r="J18" s="5">
        <f t="shared" si="3"/>
        <v>-871988.84436274087</v>
      </c>
      <c r="K18" s="5">
        <f t="shared" si="3"/>
        <v>-523960.76760249207</v>
      </c>
      <c r="L18" s="5">
        <f t="shared" si="3"/>
        <v>-207571.60691135679</v>
      </c>
    </row>
    <row r="21" spans="2:12" x14ac:dyDescent="0.35">
      <c r="C21" s="14">
        <v>11</v>
      </c>
      <c r="D21">
        <v>12</v>
      </c>
      <c r="E21">
        <v>13</v>
      </c>
      <c r="F21">
        <v>14</v>
      </c>
      <c r="G21">
        <v>15</v>
      </c>
      <c r="H21">
        <v>16</v>
      </c>
      <c r="I21">
        <v>17</v>
      </c>
      <c r="J21">
        <v>18</v>
      </c>
      <c r="K21">
        <v>19</v>
      </c>
      <c r="L21">
        <v>20</v>
      </c>
    </row>
    <row r="22" spans="2:12" x14ac:dyDescent="0.35">
      <c r="C22" s="13">
        <f>$C$4/((1+$C$3)^C21)+L18</f>
        <v>80054.902807857026</v>
      </c>
      <c r="D22" s="5">
        <f t="shared" ref="D22:L22" si="4">$C$4/((1+$C$3)^D21)+C22</f>
        <v>341533.54800714238</v>
      </c>
      <c r="E22" s="5">
        <f t="shared" si="4"/>
        <v>579241.40727921994</v>
      </c>
      <c r="F22" s="5">
        <f t="shared" si="4"/>
        <v>795339.46116292675</v>
      </c>
      <c r="G22" s="5">
        <f t="shared" si="4"/>
        <v>991792.23742084205</v>
      </c>
      <c r="H22" s="5">
        <f t="shared" si="4"/>
        <v>1170385.6703825833</v>
      </c>
      <c r="I22" s="5">
        <f t="shared" si="4"/>
        <v>1332743.3367114388</v>
      </c>
      <c r="J22" s="5">
        <f t="shared" si="4"/>
        <v>1480341.2151922167</v>
      </c>
      <c r="K22" s="5">
        <f t="shared" si="4"/>
        <v>1614521.1047201965</v>
      </c>
      <c r="L22" s="5">
        <f t="shared" si="4"/>
        <v>1736502.8224729053</v>
      </c>
    </row>
    <row r="26" spans="2:12" x14ac:dyDescent="0.35">
      <c r="C26" s="15" t="s">
        <v>62</v>
      </c>
      <c r="D26" s="15"/>
      <c r="E26" s="15"/>
      <c r="F26" s="15"/>
      <c r="G26" s="15"/>
      <c r="H26" s="15"/>
      <c r="I26" s="15"/>
      <c r="J26" s="15"/>
      <c r="K26" s="15"/>
      <c r="L26" s="15"/>
    </row>
    <row r="27" spans="2:12" x14ac:dyDescent="0.35">
      <c r="B27">
        <v>0</v>
      </c>
      <c r="C27">
        <v>1</v>
      </c>
      <c r="D27">
        <v>2</v>
      </c>
      <c r="E27">
        <v>3</v>
      </c>
      <c r="F27">
        <v>4</v>
      </c>
      <c r="G27">
        <v>5</v>
      </c>
      <c r="H27">
        <v>6</v>
      </c>
      <c r="I27">
        <v>7</v>
      </c>
      <c r="J27">
        <v>8</v>
      </c>
      <c r="K27">
        <v>9</v>
      </c>
      <c r="L27">
        <v>10</v>
      </c>
    </row>
    <row r="28" spans="2:12" x14ac:dyDescent="0.35">
      <c r="B28" s="5">
        <f>-F4</f>
        <v>-8557500</v>
      </c>
      <c r="C28" s="5">
        <f t="shared" ref="C28:L28" si="5">$C$4/((1+$C$3)^C27)+B28</f>
        <v>-7811470.9090909092</v>
      </c>
      <c r="D28" s="5">
        <f t="shared" si="5"/>
        <v>-7133262.6446280992</v>
      </c>
      <c r="E28" s="5">
        <f t="shared" si="5"/>
        <v>-6516709.6769346362</v>
      </c>
      <c r="F28" s="5">
        <f t="shared" si="5"/>
        <v>-5956206.9790314874</v>
      </c>
      <c r="G28" s="5">
        <f t="shared" si="5"/>
        <v>-5446659.0718468074</v>
      </c>
      <c r="H28" s="5">
        <f t="shared" si="5"/>
        <v>-4983433.7016789159</v>
      </c>
      <c r="I28" s="5">
        <f t="shared" si="5"/>
        <v>-4562319.7287990153</v>
      </c>
      <c r="J28" s="5">
        <f t="shared" si="5"/>
        <v>-4179488.8443627413</v>
      </c>
      <c r="K28" s="5">
        <f t="shared" si="5"/>
        <v>-3831460.7676024926</v>
      </c>
      <c r="L28" s="5">
        <f t="shared" si="5"/>
        <v>-3515071.6069113575</v>
      </c>
    </row>
    <row r="31" spans="2:12" x14ac:dyDescent="0.35">
      <c r="C31">
        <v>11</v>
      </c>
      <c r="D31" s="16">
        <v>12</v>
      </c>
      <c r="E31">
        <v>13</v>
      </c>
      <c r="F31">
        <v>14</v>
      </c>
      <c r="G31">
        <v>15</v>
      </c>
      <c r="H31">
        <v>16</v>
      </c>
      <c r="I31">
        <v>17</v>
      </c>
      <c r="J31">
        <v>18</v>
      </c>
      <c r="K31">
        <v>19</v>
      </c>
      <c r="L31">
        <v>20</v>
      </c>
    </row>
    <row r="32" spans="2:12" x14ac:dyDescent="0.35">
      <c r="C32" s="5">
        <f>$C$4/((1+$C$3)^C31)+L28</f>
        <v>-3227445.0971921436</v>
      </c>
      <c r="D32" s="17">
        <f t="shared" ref="D32:L32" si="6">$C$4/((1+$C$3)^D31)+C32</f>
        <v>-2965966.4519928582</v>
      </c>
      <c r="E32" s="5">
        <f t="shared" si="6"/>
        <v>-2728258.5927207805</v>
      </c>
      <c r="F32" s="5">
        <f t="shared" si="6"/>
        <v>-2512160.5388370738</v>
      </c>
      <c r="G32" s="5">
        <f t="shared" si="6"/>
        <v>-2315707.7625791584</v>
      </c>
      <c r="H32" s="5">
        <f t="shared" si="6"/>
        <v>-2137114.3296174174</v>
      </c>
      <c r="I32" s="5">
        <f t="shared" si="6"/>
        <v>-1974756.6632885619</v>
      </c>
      <c r="J32" s="5">
        <f t="shared" si="6"/>
        <v>-1827158.784807784</v>
      </c>
      <c r="K32" s="5">
        <f t="shared" si="6"/>
        <v>-1692978.8952798042</v>
      </c>
      <c r="L32" s="5">
        <f t="shared" si="6"/>
        <v>-1570997.1775270954</v>
      </c>
    </row>
  </sheetData>
  <mergeCells count="3">
    <mergeCell ref="C7:L7"/>
    <mergeCell ref="C16:L16"/>
    <mergeCell ref="C26:L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Costs 25%</vt:lpstr>
      <vt:lpstr>CAPEX 25%</vt:lpstr>
      <vt:lpstr>OPEX 25%</vt:lpstr>
      <vt:lpstr>VAN 25%</vt:lpstr>
      <vt:lpstr>TIR 25%</vt:lpstr>
      <vt:lpstr>ROI 25%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Solis</dc:creator>
  <cp:lastModifiedBy>Leonardo Solis</cp:lastModifiedBy>
  <dcterms:created xsi:type="dcterms:W3CDTF">2026-01-08T12:13:09Z</dcterms:created>
  <dcterms:modified xsi:type="dcterms:W3CDTF">2026-01-08T20:18:37Z</dcterms:modified>
</cp:coreProperties>
</file>