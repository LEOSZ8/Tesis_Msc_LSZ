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4_BattBankDesign\01_codes\02_Pnom025\"/>
    </mc:Choice>
  </mc:AlternateContent>
  <xr:revisionPtr revIDLastSave="0" documentId="13_ncr:1_{F7EABA2F-94B8-47DF-ACB2-A0F939CB8EDC}" xr6:coauthVersionLast="47" xr6:coauthVersionMax="47" xr10:uidLastSave="{00000000-0000-0000-0000-000000000000}"/>
  <bookViews>
    <workbookView xWindow="-120" yWindow="-120" windowWidth="20730" windowHeight="11160" activeTab="2" xr2:uid="{537560C6-8959-436D-A628-23F1362E4335}"/>
  </bookViews>
  <sheets>
    <sheet name="NMC" sheetId="1" r:id="rId1"/>
    <sheet name="LFP" sheetId="2" r:id="rId2"/>
    <sheet name="L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I11" i="3"/>
  <c r="I5" i="3"/>
  <c r="F14" i="3"/>
  <c r="F11" i="3"/>
  <c r="C14" i="3"/>
  <c r="C11" i="3"/>
  <c r="I14" i="2"/>
  <c r="I11" i="2"/>
  <c r="I5" i="2"/>
  <c r="F14" i="2"/>
  <c r="F11" i="2"/>
  <c r="F5" i="2"/>
  <c r="C14" i="2"/>
  <c r="C11" i="2"/>
  <c r="C5" i="2"/>
  <c r="I14" i="1"/>
  <c r="I11" i="1"/>
  <c r="I5" i="1"/>
  <c r="F14" i="1"/>
  <c r="F11" i="1"/>
  <c r="F5" i="1"/>
  <c r="C14" i="1"/>
  <c r="C11" i="1"/>
  <c r="C5" i="1"/>
</calcChain>
</file>

<file path=xl/sharedStrings.xml><?xml version="1.0" encoding="utf-8"?>
<sst xmlns="http://schemas.openxmlformats.org/spreadsheetml/2006/main" count="153" uniqueCount="28">
  <si>
    <t>ABL-012010P</t>
  </si>
  <si>
    <t>Essential Parameters</t>
  </si>
  <si>
    <t>Nsc [-] (Number of cell in string)</t>
  </si>
  <si>
    <t>Ebs [kWh] (Energy of a String)</t>
  </si>
  <si>
    <t>Nsb [-] (Number of strings in a battery pack)</t>
  </si>
  <si>
    <t>Cbp [Ah] (Battery pack capacity)</t>
  </si>
  <si>
    <t>Nbp [-] (Number of cells of the battery pack)</t>
  </si>
  <si>
    <t>Performance Parameters</t>
  </si>
  <si>
    <t>Iscc [A] (string continuous current) (discharge)</t>
  </si>
  <si>
    <t>Pbpc[kW] (battery pack continuous power) (discharge)</t>
  </si>
  <si>
    <t>Ispc [A] (string peak current)</t>
  </si>
  <si>
    <t>Ibpp[kA] (battery pack pack current)</t>
  </si>
  <si>
    <t>Pbpp [kW] (battery pack peak power)</t>
  </si>
  <si>
    <t>Mechanical Parameters</t>
  </si>
  <si>
    <t>mbp [kg] (battery mass pack)</t>
  </si>
  <si>
    <t>Vbp [m3] (volume of the battery pack)</t>
  </si>
  <si>
    <t>ABL-012030P</t>
  </si>
  <si>
    <t>E4050T1</t>
  </si>
  <si>
    <t>Ebs [Wh] (Energy of a String)</t>
  </si>
  <si>
    <t>Pbpp [W] (battery pack peak power)</t>
  </si>
  <si>
    <t>Ibpc[kA] (battery pack continuous current) (discharge)</t>
  </si>
  <si>
    <t>URB1270</t>
  </si>
  <si>
    <t>PSL-SC-12500</t>
  </si>
  <si>
    <t>U27-36XP</t>
  </si>
  <si>
    <t>SLB12400L151</t>
  </si>
  <si>
    <t>Ibpc[lA] (battery pack continuous current) (discharge)</t>
  </si>
  <si>
    <t>SLB08115L140</t>
  </si>
  <si>
    <t>ELB 1500mAh 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</si>
</sst>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AAE7-C6E4-4A8E-AED9-A1618CC87FB6}">
  <dimension ref="B2:I18"/>
  <sheetViews>
    <sheetView topLeftCell="B1" workbookViewId="0">
      <selection activeCell="H21" sqref="H21"/>
    </sheetView>
  </sheetViews>
  <sheetFormatPr baseColWidth="10" defaultRowHeight="15" x14ac:dyDescent="0.25"/>
  <cols>
    <col min="2" max="2" width="49.7109375" bestFit="1" customWidth="1"/>
    <col min="3" max="3" width="9" bestFit="1" customWidth="1"/>
    <col min="5" max="5" width="49.7109375" bestFit="1" customWidth="1"/>
    <col min="8" max="8" width="49.7109375" bestFit="1" customWidth="1"/>
  </cols>
  <sheetData>
    <row r="2" spans="2:9" x14ac:dyDescent="0.25">
      <c r="B2" s="4" t="s">
        <v>0</v>
      </c>
      <c r="C2" s="4"/>
      <c r="E2" s="4" t="s">
        <v>16</v>
      </c>
      <c r="F2" s="4"/>
      <c r="H2" s="2" t="s">
        <v>17</v>
      </c>
      <c r="I2" s="3"/>
    </row>
    <row r="3" spans="2:9" x14ac:dyDescent="0.25">
      <c r="B3" s="4" t="s">
        <v>1</v>
      </c>
      <c r="C3" s="4"/>
      <c r="E3" s="4" t="s">
        <v>1</v>
      </c>
      <c r="F3" s="4"/>
      <c r="H3" s="4" t="s">
        <v>1</v>
      </c>
      <c r="I3" s="4"/>
    </row>
    <row r="4" spans="2:9" x14ac:dyDescent="0.25">
      <c r="B4" t="s">
        <v>2</v>
      </c>
      <c r="C4">
        <v>63</v>
      </c>
      <c r="E4" t="s">
        <v>2</v>
      </c>
      <c r="F4">
        <v>63</v>
      </c>
      <c r="H4" t="s">
        <v>2</v>
      </c>
      <c r="I4">
        <v>264</v>
      </c>
    </row>
    <row r="5" spans="2:9" x14ac:dyDescent="0.25">
      <c r="B5" s="1" t="s">
        <v>3</v>
      </c>
      <c r="C5">
        <f>7560/1000</f>
        <v>7.56</v>
      </c>
      <c r="E5" t="s">
        <v>3</v>
      </c>
      <c r="F5">
        <f>22680/1000</f>
        <v>22.68</v>
      </c>
      <c r="H5" t="s">
        <v>3</v>
      </c>
      <c r="I5">
        <f>113000/1000</f>
        <v>113</v>
      </c>
    </row>
    <row r="6" spans="2:9" x14ac:dyDescent="0.25">
      <c r="B6" t="s">
        <v>4</v>
      </c>
      <c r="C6">
        <v>834</v>
      </c>
      <c r="E6" t="s">
        <v>4</v>
      </c>
      <c r="F6">
        <v>278</v>
      </c>
      <c r="H6" t="s">
        <v>4</v>
      </c>
      <c r="I6">
        <v>56</v>
      </c>
    </row>
    <row r="7" spans="2:9" x14ac:dyDescent="0.25">
      <c r="B7" t="s">
        <v>5</v>
      </c>
      <c r="C7">
        <v>8340</v>
      </c>
      <c r="E7" s="1" t="s">
        <v>5</v>
      </c>
      <c r="F7">
        <v>8340</v>
      </c>
      <c r="H7" t="s">
        <v>5</v>
      </c>
      <c r="I7">
        <v>7168</v>
      </c>
    </row>
    <row r="8" spans="2:9" x14ac:dyDescent="0.25">
      <c r="B8" t="s">
        <v>6</v>
      </c>
      <c r="C8">
        <v>52542</v>
      </c>
      <c r="E8" t="s">
        <v>6</v>
      </c>
      <c r="F8">
        <v>17514</v>
      </c>
      <c r="H8" t="s">
        <v>6</v>
      </c>
      <c r="I8">
        <v>14784</v>
      </c>
    </row>
    <row r="9" spans="2:9" x14ac:dyDescent="0.25">
      <c r="B9" s="4" t="s">
        <v>7</v>
      </c>
      <c r="C9" s="4"/>
      <c r="E9" s="4" t="s">
        <v>7</v>
      </c>
      <c r="F9" s="4"/>
      <c r="H9" s="4" t="s">
        <v>7</v>
      </c>
      <c r="I9" s="4"/>
    </row>
    <row r="10" spans="2:9" x14ac:dyDescent="0.25">
      <c r="B10" t="s">
        <v>8</v>
      </c>
      <c r="C10">
        <v>5</v>
      </c>
      <c r="E10" t="s">
        <v>8</v>
      </c>
      <c r="F10">
        <v>30</v>
      </c>
      <c r="H10" t="s">
        <v>8</v>
      </c>
      <c r="I10">
        <v>128</v>
      </c>
    </row>
    <row r="11" spans="2:9" x14ac:dyDescent="0.25">
      <c r="B11" t="s">
        <v>20</v>
      </c>
      <c r="C11">
        <f>4170/1000</f>
        <v>4.17</v>
      </c>
      <c r="E11" t="s">
        <v>20</v>
      </c>
      <c r="F11">
        <f>8340/1000</f>
        <v>8.34</v>
      </c>
      <c r="H11" t="s">
        <v>20</v>
      </c>
      <c r="I11">
        <f>7168/1000</f>
        <v>7.1680000000000001</v>
      </c>
    </row>
    <row r="12" spans="2:9" x14ac:dyDescent="0.25">
      <c r="B12" s="1" t="s">
        <v>9</v>
      </c>
      <c r="C12">
        <v>3127.5</v>
      </c>
      <c r="E12" t="s">
        <v>9</v>
      </c>
      <c r="F12">
        <v>6255</v>
      </c>
      <c r="H12" t="s">
        <v>9</v>
      </c>
      <c r="I12">
        <v>5376</v>
      </c>
    </row>
    <row r="13" spans="2:9" x14ac:dyDescent="0.25">
      <c r="B13" t="s">
        <v>10</v>
      </c>
      <c r="C13">
        <v>20</v>
      </c>
      <c r="E13" t="s">
        <v>10</v>
      </c>
      <c r="F13">
        <v>60</v>
      </c>
      <c r="H13" t="s">
        <v>10</v>
      </c>
      <c r="I13">
        <v>750</v>
      </c>
    </row>
    <row r="14" spans="2:9" x14ac:dyDescent="0.25">
      <c r="B14" s="1" t="s">
        <v>11</v>
      </c>
      <c r="C14">
        <f>16680/1000</f>
        <v>16.68</v>
      </c>
      <c r="E14" t="s">
        <v>11</v>
      </c>
      <c r="F14">
        <f>16680/1000</f>
        <v>16.68</v>
      </c>
      <c r="H14" t="s">
        <v>11</v>
      </c>
      <c r="I14">
        <f>42000/1000</f>
        <v>42</v>
      </c>
    </row>
    <row r="15" spans="2:9" x14ac:dyDescent="0.25">
      <c r="B15" s="1" t="s">
        <v>12</v>
      </c>
      <c r="C15">
        <v>12510</v>
      </c>
      <c r="E15" t="s">
        <v>12</v>
      </c>
      <c r="F15">
        <v>12510</v>
      </c>
      <c r="H15" t="s">
        <v>12</v>
      </c>
      <c r="I15">
        <v>31500</v>
      </c>
    </row>
    <row r="16" spans="2:9" x14ac:dyDescent="0.25">
      <c r="B16" s="2" t="s">
        <v>13</v>
      </c>
      <c r="C16" s="3"/>
      <c r="E16" s="2" t="s">
        <v>13</v>
      </c>
      <c r="F16" s="3"/>
      <c r="H16" s="2" t="s">
        <v>13</v>
      </c>
      <c r="I16" s="3"/>
    </row>
    <row r="17" spans="2:9" x14ac:dyDescent="0.25">
      <c r="B17" t="s">
        <v>14</v>
      </c>
      <c r="C17">
        <v>42033.600000000006</v>
      </c>
      <c r="E17" t="s">
        <v>14</v>
      </c>
      <c r="F17">
        <v>36779.4</v>
      </c>
      <c r="H17" t="s">
        <v>14</v>
      </c>
      <c r="I17">
        <v>7096.32</v>
      </c>
    </row>
    <row r="18" spans="2:9" x14ac:dyDescent="0.25">
      <c r="B18" t="s">
        <v>15</v>
      </c>
      <c r="C18">
        <v>25.74558</v>
      </c>
      <c r="E18" t="s">
        <v>15</v>
      </c>
      <c r="F18">
        <v>19.738278000000001</v>
      </c>
      <c r="H18" t="s">
        <v>15</v>
      </c>
      <c r="I18">
        <v>28.108819200000003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5D05-5044-40FA-8A76-92F137FCF2FB}">
  <dimension ref="B2:I18"/>
  <sheetViews>
    <sheetView topLeftCell="B1" workbookViewId="0">
      <selection activeCell="F20" sqref="F20"/>
    </sheetView>
  </sheetViews>
  <sheetFormatPr baseColWidth="10" defaultRowHeight="15" x14ac:dyDescent="0.25"/>
  <cols>
    <col min="2" max="2" width="49.7109375" bestFit="1" customWidth="1"/>
    <col min="5" max="5" width="49.7109375" bestFit="1" customWidth="1"/>
    <col min="8" max="8" width="49.7109375" bestFit="1" customWidth="1"/>
  </cols>
  <sheetData>
    <row r="2" spans="2:9" x14ac:dyDescent="0.25">
      <c r="B2" s="2" t="s">
        <v>21</v>
      </c>
      <c r="C2" s="3"/>
      <c r="E2" s="5" t="s">
        <v>22</v>
      </c>
      <c r="F2" s="5"/>
      <c r="H2" s="5" t="s">
        <v>23</v>
      </c>
      <c r="I2" s="5"/>
    </row>
    <row r="3" spans="2:9" x14ac:dyDescent="0.25">
      <c r="B3" s="4" t="s">
        <v>1</v>
      </c>
      <c r="C3" s="4"/>
      <c r="E3" s="4" t="s">
        <v>1</v>
      </c>
      <c r="F3" s="4"/>
      <c r="H3" s="4" t="s">
        <v>1</v>
      </c>
      <c r="I3" s="4"/>
    </row>
    <row r="4" spans="2:9" x14ac:dyDescent="0.25">
      <c r="B4" t="s">
        <v>2</v>
      </c>
      <c r="C4">
        <v>59</v>
      </c>
      <c r="E4" t="s">
        <v>2</v>
      </c>
      <c r="F4">
        <v>59</v>
      </c>
      <c r="H4" t="s">
        <v>2</v>
      </c>
      <c r="I4">
        <v>20</v>
      </c>
    </row>
    <row r="5" spans="2:9" x14ac:dyDescent="0.25">
      <c r="B5" t="s">
        <v>3</v>
      </c>
      <c r="C5">
        <f>5723/1000</f>
        <v>5.7229999999999999</v>
      </c>
      <c r="E5" t="s">
        <v>3</v>
      </c>
      <c r="F5">
        <f>37760/1000</f>
        <v>37.76</v>
      </c>
      <c r="H5" t="s">
        <v>3</v>
      </c>
      <c r="I5">
        <f>38400/1000</f>
        <v>38.4</v>
      </c>
    </row>
    <row r="6" spans="2:9" x14ac:dyDescent="0.25">
      <c r="B6" t="s">
        <v>4</v>
      </c>
      <c r="C6">
        <v>1101</v>
      </c>
      <c r="E6" t="s">
        <v>4</v>
      </c>
      <c r="F6">
        <v>167</v>
      </c>
      <c r="H6" t="s">
        <v>4</v>
      </c>
      <c r="I6">
        <v>165</v>
      </c>
    </row>
    <row r="7" spans="2:9" x14ac:dyDescent="0.25">
      <c r="B7" t="s">
        <v>5</v>
      </c>
      <c r="C7">
        <v>8367.6</v>
      </c>
      <c r="E7" t="s">
        <v>5</v>
      </c>
      <c r="F7">
        <v>8350</v>
      </c>
      <c r="H7" t="s">
        <v>5</v>
      </c>
      <c r="I7">
        <v>8250</v>
      </c>
    </row>
    <row r="8" spans="2:9" x14ac:dyDescent="0.25">
      <c r="B8" t="s">
        <v>6</v>
      </c>
      <c r="C8">
        <v>64959</v>
      </c>
      <c r="E8" t="s">
        <v>6</v>
      </c>
      <c r="F8">
        <v>9853</v>
      </c>
      <c r="H8" t="s">
        <v>6</v>
      </c>
      <c r="I8">
        <v>3300</v>
      </c>
    </row>
    <row r="9" spans="2:9" x14ac:dyDescent="0.25">
      <c r="B9" s="4" t="s">
        <v>7</v>
      </c>
      <c r="C9" s="4"/>
      <c r="E9" s="4" t="s">
        <v>7</v>
      </c>
      <c r="F9" s="4"/>
      <c r="H9" s="4" t="s">
        <v>7</v>
      </c>
      <c r="I9" s="4"/>
    </row>
    <row r="10" spans="2:9" x14ac:dyDescent="0.25">
      <c r="B10" t="s">
        <v>8</v>
      </c>
      <c r="C10">
        <v>15</v>
      </c>
      <c r="E10" t="s">
        <v>8</v>
      </c>
      <c r="F10">
        <v>50</v>
      </c>
      <c r="H10" t="s">
        <v>8</v>
      </c>
      <c r="I10">
        <v>50</v>
      </c>
    </row>
    <row r="11" spans="2:9" x14ac:dyDescent="0.25">
      <c r="B11" t="s">
        <v>20</v>
      </c>
      <c r="C11">
        <f>16515/1000</f>
        <v>16.515000000000001</v>
      </c>
      <c r="E11" t="s">
        <v>20</v>
      </c>
      <c r="F11">
        <f>8350/1000</f>
        <v>8.35</v>
      </c>
      <c r="H11" t="s">
        <v>20</v>
      </c>
      <c r="I11">
        <f>8250/1000</f>
        <v>8.25</v>
      </c>
    </row>
    <row r="12" spans="2:9" x14ac:dyDescent="0.25">
      <c r="B12" t="s">
        <v>9</v>
      </c>
      <c r="C12">
        <v>12386.25</v>
      </c>
      <c r="E12" t="s">
        <v>9</v>
      </c>
      <c r="F12">
        <v>6262.5</v>
      </c>
      <c r="H12" t="s">
        <v>9</v>
      </c>
      <c r="I12">
        <v>6187.5</v>
      </c>
    </row>
    <row r="13" spans="2:9" x14ac:dyDescent="0.25">
      <c r="B13" t="s">
        <v>10</v>
      </c>
      <c r="C13">
        <v>55</v>
      </c>
      <c r="E13" t="s">
        <v>10</v>
      </c>
      <c r="F13">
        <v>140</v>
      </c>
      <c r="H13" t="s">
        <v>10</v>
      </c>
      <c r="I13">
        <v>150</v>
      </c>
    </row>
    <row r="14" spans="2:9" x14ac:dyDescent="0.25">
      <c r="B14" t="s">
        <v>11</v>
      </c>
      <c r="C14">
        <f>60555/1000</f>
        <v>60.555</v>
      </c>
      <c r="E14" t="s">
        <v>11</v>
      </c>
      <c r="F14">
        <f>23380/1000</f>
        <v>23.38</v>
      </c>
      <c r="H14" t="s">
        <v>11</v>
      </c>
      <c r="I14">
        <f>24750/1000</f>
        <v>24.75</v>
      </c>
    </row>
    <row r="15" spans="2:9" x14ac:dyDescent="0.25">
      <c r="B15" t="s">
        <v>12</v>
      </c>
      <c r="C15">
        <v>45416.25</v>
      </c>
      <c r="E15" t="s">
        <v>12</v>
      </c>
      <c r="F15">
        <v>17535</v>
      </c>
      <c r="H15" t="s">
        <v>12</v>
      </c>
      <c r="I15">
        <v>18562.5</v>
      </c>
    </row>
    <row r="16" spans="2:9" x14ac:dyDescent="0.25">
      <c r="B16" s="2" t="s">
        <v>13</v>
      </c>
      <c r="C16" s="3"/>
      <c r="E16" s="2" t="s">
        <v>13</v>
      </c>
      <c r="F16" s="3"/>
      <c r="H16" s="2" t="s">
        <v>13</v>
      </c>
      <c r="I16" s="3"/>
    </row>
    <row r="17" spans="2:9" x14ac:dyDescent="0.25">
      <c r="B17" t="s">
        <v>14</v>
      </c>
      <c r="C17">
        <v>64959</v>
      </c>
      <c r="E17" t="s">
        <v>14</v>
      </c>
      <c r="F17">
        <v>62073.9</v>
      </c>
      <c r="H17" t="s">
        <v>14</v>
      </c>
      <c r="I17">
        <v>61710</v>
      </c>
    </row>
    <row r="18" spans="2:9" x14ac:dyDescent="0.25">
      <c r="B18" t="s">
        <v>15</v>
      </c>
      <c r="C18">
        <v>59.045132639999999</v>
      </c>
      <c r="E18" t="s">
        <v>15</v>
      </c>
      <c r="F18">
        <v>55.098389826000002</v>
      </c>
      <c r="H18" t="s">
        <v>15</v>
      </c>
      <c r="I18">
        <v>39.079260000000005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151D-5BDF-418E-B92F-2E42037F9181}">
  <dimension ref="B2:I18"/>
  <sheetViews>
    <sheetView tabSelected="1" topLeftCell="B1" workbookViewId="0">
      <selection activeCell="H19" sqref="H19"/>
    </sheetView>
  </sheetViews>
  <sheetFormatPr baseColWidth="10" defaultRowHeight="15" x14ac:dyDescent="0.25"/>
  <cols>
    <col min="2" max="2" width="49.7109375" bestFit="1" customWidth="1"/>
    <col min="5" max="5" width="49.7109375" bestFit="1" customWidth="1"/>
    <col min="8" max="8" width="49.7109375" bestFit="1" customWidth="1"/>
  </cols>
  <sheetData>
    <row r="2" spans="2:9" x14ac:dyDescent="0.25">
      <c r="B2" s="2" t="s">
        <v>24</v>
      </c>
      <c r="C2" s="3"/>
      <c r="E2" s="2" t="s">
        <v>26</v>
      </c>
      <c r="F2" s="3"/>
      <c r="H2" s="2" t="s">
        <v>27</v>
      </c>
      <c r="I2" s="3"/>
    </row>
    <row r="3" spans="2:9" x14ac:dyDescent="0.25">
      <c r="B3" s="4" t="s">
        <v>1</v>
      </c>
      <c r="C3" s="4"/>
      <c r="E3" s="4" t="s">
        <v>1</v>
      </c>
      <c r="F3" s="4"/>
      <c r="H3" s="4" t="s">
        <v>1</v>
      </c>
      <c r="I3" s="4"/>
    </row>
    <row r="4" spans="2:9" x14ac:dyDescent="0.25">
      <c r="B4" t="s">
        <v>2</v>
      </c>
      <c r="C4">
        <v>313</v>
      </c>
      <c r="E4" t="s">
        <v>2</v>
      </c>
      <c r="F4">
        <v>313</v>
      </c>
      <c r="H4" t="s">
        <v>2</v>
      </c>
      <c r="I4">
        <v>327</v>
      </c>
    </row>
    <row r="5" spans="2:9" x14ac:dyDescent="0.25">
      <c r="B5" t="s">
        <v>18</v>
      </c>
      <c r="C5">
        <v>112.67999999999999</v>
      </c>
      <c r="E5" t="s">
        <v>18</v>
      </c>
      <c r="F5">
        <v>10.516800000000002</v>
      </c>
      <c r="H5" t="s">
        <v>3</v>
      </c>
      <c r="I5">
        <f>1177.2/1000</f>
        <v>1.1772</v>
      </c>
    </row>
    <row r="6" spans="2:9" x14ac:dyDescent="0.25">
      <c r="B6" t="s">
        <v>4</v>
      </c>
      <c r="C6">
        <v>55911</v>
      </c>
      <c r="E6" t="s">
        <v>4</v>
      </c>
      <c r="F6">
        <v>599042</v>
      </c>
      <c r="H6" t="s">
        <v>4</v>
      </c>
      <c r="I6">
        <v>5352</v>
      </c>
    </row>
    <row r="7" spans="2:9" x14ac:dyDescent="0.25">
      <c r="B7" t="s">
        <v>5</v>
      </c>
      <c r="C7">
        <v>8386.65</v>
      </c>
      <c r="E7" t="s">
        <v>5</v>
      </c>
      <c r="F7">
        <v>8386.5879999999997</v>
      </c>
      <c r="H7" t="s">
        <v>5</v>
      </c>
      <c r="I7">
        <v>8028</v>
      </c>
    </row>
    <row r="8" spans="2:9" x14ac:dyDescent="0.25">
      <c r="B8" t="s">
        <v>6</v>
      </c>
      <c r="C8">
        <v>17500143</v>
      </c>
      <c r="E8" t="s">
        <v>6</v>
      </c>
      <c r="F8">
        <v>187500146</v>
      </c>
      <c r="H8" t="s">
        <v>6</v>
      </c>
      <c r="I8">
        <v>1750104</v>
      </c>
    </row>
    <row r="9" spans="2:9" x14ac:dyDescent="0.25">
      <c r="B9" s="4" t="s">
        <v>7</v>
      </c>
      <c r="C9" s="4"/>
      <c r="E9" s="4" t="s">
        <v>7</v>
      </c>
      <c r="F9" s="4"/>
      <c r="H9" s="4" t="s">
        <v>7</v>
      </c>
      <c r="I9" s="4"/>
    </row>
    <row r="10" spans="2:9" x14ac:dyDescent="0.25">
      <c r="B10" t="s">
        <v>8</v>
      </c>
      <c r="C10">
        <v>0.15</v>
      </c>
      <c r="E10" t="s">
        <v>8</v>
      </c>
      <c r="F10">
        <v>7.0000000000000001E-3</v>
      </c>
      <c r="H10" t="s">
        <v>8</v>
      </c>
      <c r="I10">
        <v>1.5</v>
      </c>
    </row>
    <row r="11" spans="2:9" x14ac:dyDescent="0.25">
      <c r="B11" t="s">
        <v>25</v>
      </c>
      <c r="C11">
        <f>8386.65/1000</f>
        <v>8.3866499999999995</v>
      </c>
      <c r="E11" t="s">
        <v>20</v>
      </c>
      <c r="F11">
        <f>4193.294/1000</f>
        <v>4.1932939999999999</v>
      </c>
      <c r="H11" t="s">
        <v>20</v>
      </c>
      <c r="I11">
        <f>8028/1000</f>
        <v>8.0280000000000005</v>
      </c>
    </row>
    <row r="12" spans="2:9" x14ac:dyDescent="0.25">
      <c r="B12" t="s">
        <v>9</v>
      </c>
      <c r="C12">
        <v>6289.9875000000002</v>
      </c>
      <c r="E12" t="s">
        <v>9</v>
      </c>
      <c r="F12">
        <v>3144.9704999999999</v>
      </c>
      <c r="H12" t="s">
        <v>9</v>
      </c>
      <c r="I12">
        <v>6021</v>
      </c>
    </row>
    <row r="13" spans="2:9" x14ac:dyDescent="0.25">
      <c r="B13" t="s">
        <v>10</v>
      </c>
      <c r="C13">
        <v>3</v>
      </c>
      <c r="E13" t="s">
        <v>10</v>
      </c>
      <c r="F13">
        <v>0.28000000000000003</v>
      </c>
      <c r="H13" t="s">
        <v>10</v>
      </c>
      <c r="I13">
        <v>12</v>
      </c>
    </row>
    <row r="14" spans="2:9" x14ac:dyDescent="0.25">
      <c r="B14" t="s">
        <v>11</v>
      </c>
      <c r="C14">
        <f>167733/1000</f>
        <v>167.733</v>
      </c>
      <c r="E14" t="s">
        <v>11</v>
      </c>
      <c r="F14">
        <f>167731.76/1000</f>
        <v>167.73176000000001</v>
      </c>
      <c r="H14" t="s">
        <v>11</v>
      </c>
      <c r="I14">
        <f>64224/1000</f>
        <v>64.224000000000004</v>
      </c>
    </row>
    <row r="15" spans="2:9" x14ac:dyDescent="0.25">
      <c r="B15" t="s">
        <v>12</v>
      </c>
      <c r="C15">
        <v>125799.75</v>
      </c>
      <c r="E15" t="s">
        <v>12</v>
      </c>
      <c r="F15">
        <v>125798.82</v>
      </c>
      <c r="H15" t="s">
        <v>19</v>
      </c>
      <c r="I15">
        <v>48168</v>
      </c>
    </row>
    <row r="16" spans="2:9" x14ac:dyDescent="0.25">
      <c r="B16" s="2" t="s">
        <v>13</v>
      </c>
      <c r="C16" s="3"/>
      <c r="E16" s="2" t="s">
        <v>13</v>
      </c>
      <c r="F16" s="3"/>
      <c r="H16" s="2" t="s">
        <v>13</v>
      </c>
      <c r="I16" s="3"/>
    </row>
    <row r="17" spans="2:9" x14ac:dyDescent="0.25">
      <c r="B17" t="s">
        <v>14</v>
      </c>
      <c r="C17">
        <v>1575012.8699999999</v>
      </c>
      <c r="E17" t="s">
        <v>14</v>
      </c>
      <c r="F17">
        <v>225000.17519999997</v>
      </c>
      <c r="H17" t="s">
        <v>14</v>
      </c>
      <c r="I17">
        <v>80504.784</v>
      </c>
    </row>
    <row r="18" spans="2:9" x14ac:dyDescent="0.25">
      <c r="B18" t="s">
        <v>15</v>
      </c>
      <c r="C18">
        <v>343.61450428481783</v>
      </c>
      <c r="E18" t="s">
        <v>15</v>
      </c>
      <c r="F18">
        <v>433.54012377837159</v>
      </c>
      <c r="H18" t="s">
        <v>15</v>
      </c>
      <c r="I18">
        <v>29.594422619223394</v>
      </c>
    </row>
  </sheetData>
  <mergeCells count="12">
    <mergeCell ref="H2:I2"/>
    <mergeCell ref="H3:I3"/>
    <mergeCell ref="H9:I9"/>
    <mergeCell ref="H16:I16"/>
    <mergeCell ref="B2:C2"/>
    <mergeCell ref="B3:C3"/>
    <mergeCell ref="B9:C9"/>
    <mergeCell ref="B16:C16"/>
    <mergeCell ref="E2:F2"/>
    <mergeCell ref="E3:F3"/>
    <mergeCell ref="E9:F9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NMC</vt:lpstr>
      <vt:lpstr>LFP</vt:lpstr>
      <vt:lpstr>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2026-01-04T15:06:58Z</dcterms:created>
  <dcterms:modified xsi:type="dcterms:W3CDTF">2026-01-04T20:25:43Z</dcterms:modified>
</cp:coreProperties>
</file>