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  <Override PartName="/xl/commentsmeta1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4_BattBankDesign\01_codes\02_Pnom025\"/>
    </mc:Choice>
  </mc:AlternateContent>
  <xr:revisionPtr revIDLastSave="0" documentId="13_ncr:1_{8CA16350-B0BF-472D-A4ED-CAC82DECB2A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m_25%" sheetId="11" r:id="rId1"/>
    <sheet name="2m_25%" sheetId="12" r:id="rId2"/>
    <sheet name="EnergyDemand_25%" sheetId="13" r:id="rId3"/>
    <sheet name="NMC" sheetId="5" r:id="rId4"/>
    <sheet name="LFP" sheetId="4" r:id="rId5"/>
    <sheet name="LTO" sheetId="6" r:id="rId6"/>
    <sheet name="Radar_Plot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PjBNExmyoJMeRrf3Un+WBAWBF0kEtzS/TFHWl1a6d8="/>
    </ext>
  </extLst>
</workbook>
</file>

<file path=xl/calcChain.xml><?xml version="1.0" encoding="utf-8"?>
<calcChain xmlns="http://schemas.openxmlformats.org/spreadsheetml/2006/main">
  <c r="H18" i="12" l="1"/>
  <c r="G18" i="12"/>
  <c r="H17" i="12"/>
  <c r="G17" i="12"/>
  <c r="H12" i="12"/>
  <c r="G12" i="12"/>
  <c r="H11" i="12"/>
  <c r="G11" i="12"/>
  <c r="H6" i="12"/>
  <c r="G6" i="12"/>
  <c r="G5" i="12"/>
  <c r="H25" i="11"/>
  <c r="G25" i="11"/>
  <c r="H23" i="11"/>
  <c r="G23" i="11"/>
  <c r="H21" i="11"/>
  <c r="G21" i="11"/>
  <c r="H11" i="11"/>
  <c r="G11" i="11"/>
  <c r="G9" i="11"/>
  <c r="L29" i="4"/>
  <c r="L26" i="4"/>
  <c r="AK19" i="14"/>
  <c r="AL19" i="14"/>
  <c r="AJ19" i="14"/>
  <c r="AK18" i="14"/>
  <c r="AL18" i="14"/>
  <c r="AJ18" i="14"/>
  <c r="AK17" i="14"/>
  <c r="AL17" i="14"/>
  <c r="AJ17" i="14"/>
  <c r="AK16" i="14"/>
  <c r="AL16" i="14"/>
  <c r="AJ16" i="14"/>
  <c r="AK15" i="14"/>
  <c r="AL15" i="14"/>
  <c r="AJ15" i="14"/>
  <c r="AL6" i="14"/>
  <c r="AL7" i="14"/>
  <c r="AL8" i="14"/>
  <c r="AL9" i="14"/>
  <c r="AL5" i="14"/>
  <c r="D50" i="6"/>
  <c r="D31" i="6"/>
  <c r="D27" i="6"/>
  <c r="D23" i="6"/>
  <c r="D21" i="6"/>
  <c r="H27" i="6"/>
  <c r="H23" i="6"/>
  <c r="H21" i="6"/>
  <c r="D33" i="6"/>
  <c r="W5" i="14"/>
  <c r="AD5" i="14" s="1"/>
  <c r="AD15" i="14" s="1"/>
  <c r="V9" i="14"/>
  <c r="V8" i="14"/>
  <c r="V7" i="14"/>
  <c r="V6" i="14"/>
  <c r="M15" i="14"/>
  <c r="N15" i="14"/>
  <c r="L15" i="14"/>
  <c r="O5" i="14"/>
  <c r="O15" i="14" s="1"/>
  <c r="D50" i="4"/>
  <c r="M9" i="14"/>
  <c r="L9" i="14"/>
  <c r="L19" i="14" s="1"/>
  <c r="M8" i="14"/>
  <c r="L8" i="14"/>
  <c r="L18" i="14" s="1"/>
  <c r="M7" i="14"/>
  <c r="L7" i="14"/>
  <c r="L17" i="14" s="1"/>
  <c r="M6" i="14"/>
  <c r="M16" i="14" s="1"/>
  <c r="L6" i="14"/>
  <c r="L16" i="14" s="1"/>
  <c r="F9" i="14"/>
  <c r="E9" i="14"/>
  <c r="E19" i="14" s="1"/>
  <c r="D9" i="14"/>
  <c r="F8" i="14"/>
  <c r="F18" i="14" s="1"/>
  <c r="E8" i="14"/>
  <c r="E18" i="14" s="1"/>
  <c r="D8" i="14"/>
  <c r="D18" i="14" s="1"/>
  <c r="F7" i="14"/>
  <c r="E7" i="14"/>
  <c r="D7" i="14"/>
  <c r="D17" i="14" s="1"/>
  <c r="W17" i="14"/>
  <c r="V17" i="14"/>
  <c r="U17" i="14"/>
  <c r="T17" i="14"/>
  <c r="W16" i="14"/>
  <c r="V16" i="14"/>
  <c r="U16" i="14"/>
  <c r="T16" i="14"/>
  <c r="W15" i="14"/>
  <c r="V15" i="14"/>
  <c r="U15" i="14"/>
  <c r="T15" i="14"/>
  <c r="F15" i="14"/>
  <c r="E15" i="14"/>
  <c r="D15" i="14"/>
  <c r="G8" i="14"/>
  <c r="AB8" i="14" s="1"/>
  <c r="F6" i="14"/>
  <c r="E6" i="14"/>
  <c r="D6" i="14"/>
  <c r="D16" i="14" s="1"/>
  <c r="G5" i="14"/>
  <c r="G15" i="14" s="1"/>
  <c r="D43" i="5"/>
  <c r="D49" i="5"/>
  <c r="J32" i="5"/>
  <c r="J43" i="5"/>
  <c r="J49" i="5"/>
  <c r="J48" i="5"/>
  <c r="J44" i="5"/>
  <c r="J39" i="5"/>
  <c r="J50" i="5"/>
  <c r="G44" i="5"/>
  <c r="G50" i="5"/>
  <c r="D44" i="5"/>
  <c r="D50" i="5"/>
  <c r="J29" i="5"/>
  <c r="L33" i="4"/>
  <c r="H33" i="4"/>
  <c r="H32" i="4"/>
  <c r="D34" i="4"/>
  <c r="D33" i="4"/>
  <c r="D32" i="4"/>
  <c r="D38" i="4"/>
  <c r="L33" i="6"/>
  <c r="L34" i="6"/>
  <c r="L32" i="6"/>
  <c r="L31" i="6"/>
  <c r="M50" i="6"/>
  <c r="M49" i="6"/>
  <c r="M44" i="6"/>
  <c r="M43" i="6"/>
  <c r="D41" i="6"/>
  <c r="D40" i="6"/>
  <c r="D39" i="6"/>
  <c r="H40" i="6"/>
  <c r="H39" i="6"/>
  <c r="H41" i="6"/>
  <c r="L41" i="6"/>
  <c r="L40" i="6"/>
  <c r="L39" i="6"/>
  <c r="H10" i="6"/>
  <c r="L21" i="6"/>
  <c r="L23" i="6"/>
  <c r="J34" i="5"/>
  <c r="J33" i="5"/>
  <c r="J31" i="5"/>
  <c r="G34" i="5"/>
  <c r="J21" i="5"/>
  <c r="E13" i="13"/>
  <c r="E4" i="13"/>
  <c r="E10" i="13" s="1"/>
  <c r="E14" i="13"/>
  <c r="E15" i="13" s="1"/>
  <c r="E16" i="13" s="1"/>
  <c r="D23" i="5"/>
  <c r="D22" i="5"/>
  <c r="F18" i="12"/>
  <c r="F6" i="12"/>
  <c r="E24" i="12"/>
  <c r="F24" i="12" s="1"/>
  <c r="E23" i="12"/>
  <c r="E22" i="12"/>
  <c r="E21" i="12"/>
  <c r="E20" i="12"/>
  <c r="E19" i="12"/>
  <c r="E18" i="12"/>
  <c r="E17" i="12"/>
  <c r="F17" i="12" s="1"/>
  <c r="E16" i="12"/>
  <c r="F16" i="12" s="1"/>
  <c r="E15" i="12"/>
  <c r="F15" i="12" s="1"/>
  <c r="E14" i="12"/>
  <c r="F14" i="12" s="1"/>
  <c r="E13" i="12"/>
  <c r="F13" i="12" s="1"/>
  <c r="E12" i="12"/>
  <c r="F12" i="12" s="1"/>
  <c r="E11" i="12"/>
  <c r="F11" i="12" s="1"/>
  <c r="E10" i="12"/>
  <c r="E9" i="12"/>
  <c r="E8" i="12"/>
  <c r="E7" i="12"/>
  <c r="E6" i="12"/>
  <c r="E5" i="12"/>
  <c r="F5" i="12" s="1"/>
  <c r="E4" i="12"/>
  <c r="F4" i="12" s="1"/>
  <c r="F20" i="11"/>
  <c r="F19" i="11"/>
  <c r="F12" i="11"/>
  <c r="F11" i="11"/>
  <c r="F27" i="11"/>
  <c r="E27" i="11"/>
  <c r="E26" i="11"/>
  <c r="F26" i="11" s="1"/>
  <c r="F25" i="11"/>
  <c r="E25" i="11"/>
  <c r="E24" i="11"/>
  <c r="F24" i="11" s="1"/>
  <c r="F23" i="11"/>
  <c r="E23" i="11"/>
  <c r="E22" i="11"/>
  <c r="F22" i="11" s="1"/>
  <c r="F21" i="11"/>
  <c r="E21" i="11"/>
  <c r="E20" i="11"/>
  <c r="E19" i="11"/>
  <c r="E18" i="11"/>
  <c r="E17" i="11"/>
  <c r="E16" i="11"/>
  <c r="E15" i="11"/>
  <c r="E14" i="11"/>
  <c r="E13" i="11"/>
  <c r="E12" i="11"/>
  <c r="E11" i="11"/>
  <c r="F10" i="11"/>
  <c r="E10" i="11"/>
  <c r="E9" i="11"/>
  <c r="F9" i="11" s="1"/>
  <c r="F8" i="11"/>
  <c r="E8" i="11"/>
  <c r="E7" i="11"/>
  <c r="F7" i="11" s="1"/>
  <c r="F19" i="14" l="1"/>
  <c r="F17" i="14"/>
  <c r="E17" i="14"/>
  <c r="G7" i="14"/>
  <c r="AB7" i="14" s="1"/>
  <c r="G9" i="14"/>
  <c r="M19" i="14"/>
  <c r="M17" i="14"/>
  <c r="AC5" i="14"/>
  <c r="AC15" i="14" s="1"/>
  <c r="G19" i="14"/>
  <c r="AB9" i="14"/>
  <c r="F16" i="14"/>
  <c r="D19" i="14"/>
  <c r="G17" i="14"/>
  <c r="G18" i="14"/>
  <c r="M18" i="14"/>
  <c r="E16" i="14"/>
  <c r="AB5" i="14"/>
  <c r="G6" i="14"/>
  <c r="AB6" i="14" s="1"/>
  <c r="H5" i="13"/>
  <c r="F25" i="12"/>
  <c r="F28" i="11"/>
  <c r="N8" i="5"/>
  <c r="V6" i="4"/>
  <c r="U6" i="4"/>
  <c r="W6" i="4"/>
  <c r="D9" i="6"/>
  <c r="J26" i="5"/>
  <c r="G31" i="5"/>
  <c r="J24" i="5"/>
  <c r="G24" i="5"/>
  <c r="J23" i="5"/>
  <c r="G22" i="5"/>
  <c r="L37" i="4"/>
  <c r="L48" i="4"/>
  <c r="P29" i="4"/>
  <c r="P30" i="4"/>
  <c r="AB15" i="14" l="1"/>
  <c r="AE5" i="14"/>
  <c r="G16" i="14"/>
  <c r="J28" i="5"/>
  <c r="H45" i="6" l="1"/>
  <c r="D45" i="6"/>
  <c r="L42" i="6"/>
  <c r="H42" i="6"/>
  <c r="D42" i="6"/>
  <c r="L48" i="6"/>
  <c r="H48" i="6"/>
  <c r="D48" i="6"/>
  <c r="L36" i="6"/>
  <c r="L38" i="6"/>
  <c r="L37" i="6"/>
  <c r="H37" i="6"/>
  <c r="H36" i="6"/>
  <c r="D36" i="6"/>
  <c r="L22" i="6"/>
  <c r="L24" i="6" s="1"/>
  <c r="L26" i="6" s="1"/>
  <c r="L28" i="6" s="1"/>
  <c r="H22" i="6"/>
  <c r="D22" i="6"/>
  <c r="H15" i="6"/>
  <c r="H33" i="6" s="1"/>
  <c r="D15" i="6"/>
  <c r="L12" i="6"/>
  <c r="L15" i="6" s="1"/>
  <c r="L7" i="6"/>
  <c r="G48" i="5"/>
  <c r="D48" i="5"/>
  <c r="G45" i="5"/>
  <c r="D45" i="5"/>
  <c r="J42" i="5"/>
  <c r="G42" i="5"/>
  <c r="D42" i="5"/>
  <c r="J40" i="5"/>
  <c r="O9" i="5" s="1"/>
  <c r="J45" i="5"/>
  <c r="J46" i="5" s="1"/>
  <c r="J47" i="5" s="1"/>
  <c r="G33" i="5"/>
  <c r="D31" i="5"/>
  <c r="G26" i="5"/>
  <c r="G23" i="5"/>
  <c r="D24" i="5"/>
  <c r="D26" i="5" s="1"/>
  <c r="D28" i="5" s="1"/>
  <c r="G15" i="5"/>
  <c r="D15" i="5"/>
  <c r="D33" i="5" s="1"/>
  <c r="G9" i="5"/>
  <c r="D9" i="5"/>
  <c r="M8" i="5"/>
  <c r="G7" i="5"/>
  <c r="N7" i="5" s="1"/>
  <c r="D7" i="5"/>
  <c r="M7" i="5" s="1"/>
  <c r="O6" i="5"/>
  <c r="O5" i="5"/>
  <c r="N5" i="5"/>
  <c r="M5" i="5"/>
  <c r="P5" i="5" s="1"/>
  <c r="H48" i="4"/>
  <c r="D48" i="4"/>
  <c r="L45" i="4"/>
  <c r="H45" i="4"/>
  <c r="D45" i="4"/>
  <c r="L42" i="4"/>
  <c r="H42" i="4"/>
  <c r="D42" i="4"/>
  <c r="L38" i="4"/>
  <c r="H38" i="4"/>
  <c r="H37" i="4"/>
  <c r="D37" i="4"/>
  <c r="L36" i="4"/>
  <c r="H36" i="4"/>
  <c r="D36" i="4"/>
  <c r="P23" i="4"/>
  <c r="L23" i="4"/>
  <c r="L24" i="4" s="1"/>
  <c r="L49" i="4" s="1"/>
  <c r="L50" i="4" s="1"/>
  <c r="H23" i="4"/>
  <c r="P22" i="4"/>
  <c r="L22" i="4"/>
  <c r="H22" i="4"/>
  <c r="D22" i="4"/>
  <c r="P15" i="4"/>
  <c r="L15" i="4"/>
  <c r="H15" i="4"/>
  <c r="V7" i="4" s="1"/>
  <c r="X7" i="4" s="1"/>
  <c r="D15" i="4"/>
  <c r="D11" i="4"/>
  <c r="D10" i="4"/>
  <c r="W7" i="4"/>
  <c r="H7" i="4"/>
  <c r="X6" i="4"/>
  <c r="X4" i="4"/>
  <c r="W8" i="4" l="1"/>
  <c r="N9" i="14"/>
  <c r="H24" i="6"/>
  <c r="H24" i="4"/>
  <c r="H26" i="4" s="1"/>
  <c r="H43" i="4" s="1"/>
  <c r="H44" i="4" s="1"/>
  <c r="G49" i="5"/>
  <c r="G28" i="5"/>
  <c r="G29" i="5"/>
  <c r="M9" i="5"/>
  <c r="L29" i="6"/>
  <c r="L46" i="4"/>
  <c r="L47" i="4" s="1"/>
  <c r="L28" i="4"/>
  <c r="N6" i="14"/>
  <c r="D46" i="5"/>
  <c r="D47" i="5" s="1"/>
  <c r="L6" i="6"/>
  <c r="L49" i="6"/>
  <c r="L50" i="6" s="1"/>
  <c r="L43" i="6"/>
  <c r="L44" i="6" s="1"/>
  <c r="L43" i="4"/>
  <c r="L44" i="4" s="1"/>
  <c r="D29" i="5"/>
  <c r="N9" i="5"/>
  <c r="G43" i="5"/>
  <c r="G46" i="5"/>
  <c r="G47" i="5" s="1"/>
  <c r="L45" i="6"/>
  <c r="L46" i="6" s="1"/>
  <c r="L47" i="6" s="1"/>
  <c r="D38" i="6"/>
  <c r="D24" i="4"/>
  <c r="D26" i="4" s="1"/>
  <c r="D43" i="4" s="1"/>
  <c r="D44" i="4" s="1"/>
  <c r="D37" i="6"/>
  <c r="H38" i="6"/>
  <c r="O9" i="14" l="1"/>
  <c r="N19" i="14"/>
  <c r="N16" i="14"/>
  <c r="O6" i="14"/>
  <c r="H28" i="4"/>
  <c r="H49" i="4"/>
  <c r="H50" i="4" s="1"/>
  <c r="V8" i="4" s="1"/>
  <c r="H46" i="4"/>
  <c r="H47" i="4" s="1"/>
  <c r="H29" i="4"/>
  <c r="H34" i="4" s="1"/>
  <c r="G32" i="5"/>
  <c r="P9" i="5"/>
  <c r="D49" i="4"/>
  <c r="U8" i="4" s="1"/>
  <c r="N6" i="5"/>
  <c r="D24" i="6"/>
  <c r="D26" i="6" s="1"/>
  <c r="W5" i="4"/>
  <c r="L34" i="4"/>
  <c r="N8" i="14" s="1"/>
  <c r="L32" i="4"/>
  <c r="N7" i="14" s="1"/>
  <c r="H26" i="6"/>
  <c r="H9" i="6"/>
  <c r="D46" i="4"/>
  <c r="D47" i="4" s="1"/>
  <c r="D28" i="4"/>
  <c r="M6" i="5"/>
  <c r="D34" i="5"/>
  <c r="D32" i="5"/>
  <c r="D29" i="4"/>
  <c r="O8" i="14" l="1"/>
  <c r="N18" i="14"/>
  <c r="N17" i="14"/>
  <c r="O7" i="14"/>
  <c r="O16" i="14"/>
  <c r="AC6" i="14"/>
  <c r="O19" i="14"/>
  <c r="AC9" i="14"/>
  <c r="H28" i="6"/>
  <c r="H29" i="6"/>
  <c r="V5" i="4"/>
  <c r="P6" i="5"/>
  <c r="H43" i="6"/>
  <c r="H46" i="6"/>
  <c r="H47" i="6" s="1"/>
  <c r="H49" i="6"/>
  <c r="U6" i="14"/>
  <c r="D28" i="6"/>
  <c r="D29" i="6"/>
  <c r="D43" i="6"/>
  <c r="D46" i="6"/>
  <c r="D47" i="6" s="1"/>
  <c r="D49" i="6"/>
  <c r="X8" i="4"/>
  <c r="U5" i="4"/>
  <c r="X5" i="4" s="1"/>
  <c r="AC7" i="14" l="1"/>
  <c r="O17" i="14"/>
  <c r="AC19" i="14"/>
  <c r="AB19" i="14"/>
  <c r="AC8" i="14"/>
  <c r="O18" i="14"/>
  <c r="H44" i="6"/>
  <c r="I44" i="6" s="1"/>
  <c r="I43" i="6"/>
  <c r="H50" i="6"/>
  <c r="I49" i="6"/>
  <c r="D44" i="6"/>
  <c r="E44" i="6" s="1"/>
  <c r="E43" i="6"/>
  <c r="T6" i="14"/>
  <c r="W6" i="14" s="1"/>
  <c r="AD6" i="14" s="1"/>
  <c r="D32" i="6"/>
  <c r="T7" i="14" s="1"/>
  <c r="E49" i="6"/>
  <c r="D34" i="6"/>
  <c r="T8" i="14" s="1"/>
  <c r="H32" i="6"/>
  <c r="U7" i="14" s="1"/>
  <c r="H34" i="6"/>
  <c r="U8" i="14" s="1"/>
  <c r="AD16" i="14" l="1"/>
  <c r="AB16" i="14"/>
  <c r="AC16" i="14"/>
  <c r="AE6" i="14"/>
  <c r="T18" i="14"/>
  <c r="V18" i="14"/>
  <c r="U18" i="14"/>
  <c r="W8" i="14"/>
  <c r="AD8" i="14" s="1"/>
  <c r="I50" i="6"/>
  <c r="U9" i="14"/>
  <c r="W7" i="14"/>
  <c r="T9" i="14"/>
  <c r="E50" i="6"/>
  <c r="J9" i="5"/>
  <c r="O8" i="5" s="1"/>
  <c r="P8" i="5" s="1"/>
  <c r="J7" i="5"/>
  <c r="O7" i="5" s="1"/>
  <c r="P7" i="5" s="1"/>
  <c r="W9" i="14" l="1"/>
  <c r="T19" i="14"/>
  <c r="V19" i="14"/>
  <c r="AD7" i="14"/>
  <c r="W18" i="14"/>
  <c r="AD18" i="14"/>
  <c r="AB18" i="14"/>
  <c r="AC18" i="14"/>
  <c r="AE8" i="14"/>
  <c r="U19" i="14"/>
  <c r="AD17" i="14" l="1"/>
  <c r="AB17" i="14"/>
  <c r="AE7" i="14"/>
  <c r="AC17" i="14"/>
  <c r="AD9" i="14"/>
  <c r="W19" i="14"/>
  <c r="AD19" i="14" l="1"/>
  <c r="AE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175672DD-F635-4F9D-A482-309CF27993EB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F36" authorId="0" shapeId="0" xr:uid="{87AB1896-6B10-4A12-A32E-663F535E956A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I36" authorId="0" shapeId="0" xr:uid="{4577EBB6-3D34-4181-A441-030C4D756E38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jWbr9bOGXsEHPF72CLOQVUVD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5" authorId="0" shapeId="0" xr:uid="{00000000-0006-0000-0300-000001000000}">
      <text>
        <r>
          <rPr>
            <sz val="11"/>
            <color theme="1"/>
            <rFont val="Aptos Narrow"/>
            <scheme val="minor"/>
          </rPr>
          <t>======
ID#AAABYWq4-Ho
Leonardo Solis Zamora    (2024-11-11 12:21:57)
Perfil energético asumiendo los datos desprendidos del poster</t>
        </r>
      </text>
    </comment>
    <comment ref="C36" authorId="0" shapeId="0" xr:uid="{CB4CFDE7-4C33-48DF-8A03-BF477C7EA244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G36" authorId="0" shapeId="0" xr:uid="{F2BFC217-EEA7-4A08-AE70-63519F1A5876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K36" authorId="0" shapeId="0" xr:uid="{CE2823FA-9A0D-45C3-A1FE-23A12F86F4C4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9WjoyvENNABFJHeX9WU1rdnWO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00000000-0006-0000-0500-000004000000}">
      <text>
        <r>
          <rPr>
            <sz val="11"/>
            <color theme="1"/>
            <rFont val="Aptos Narrow"/>
            <scheme val="minor"/>
          </rPr>
          <t>======
ID#AAABYWq4-Hg
Leonardo Solis Zamora    (2024-11-11 12:21:57)
https://www.ecolithiumbattery.com/battery-c-rating/#:~:text=So%20different%20material%20battery%20will,3C%20about%20LiFePO4%20prismatic%20battery.</t>
        </r>
      </text>
    </comment>
    <comment ref="G36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ID#AAABYWq4-H8
Leonardo Solis Zamora    (2024-11-11 12:21:57)
https://www.ecolithiumbattery.com/battery-c-rating/#:~:text=So%20different%20material%20battery%20will,3C%20about%20LiFePO4%20prismatic%20battery.</t>
        </r>
      </text>
    </comment>
    <comment ref="K36" authorId="0" shapeId="0" xr:uid="{FED79989-7380-45D0-8435-FA48EC8806D5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oEeXvGyLU0P1SkksBihVM1mFPw=="/>
    </ext>
  </extLst>
</comments>
</file>

<file path=xl/sharedStrings.xml><?xml version="1.0" encoding="utf-8"?>
<sst xmlns="http://schemas.openxmlformats.org/spreadsheetml/2006/main" count="561" uniqueCount="144">
  <si>
    <t>Ubp [V] (Battery pack voltage)</t>
  </si>
  <si>
    <t>Ubc [V] (Baterry cell voltage)</t>
  </si>
  <si>
    <t>Ncs [-] (Number of cell in string)</t>
  </si>
  <si>
    <t>Ebc [Wh] (Energy of a baterry cell)</t>
  </si>
  <si>
    <t>Ebs [Wh] (Energy of a String)</t>
  </si>
  <si>
    <t>Ebp [Wh] (Battery pack total energy)</t>
  </si>
  <si>
    <t>Nsb [-] (Number of strings in a battery pack)</t>
  </si>
  <si>
    <t>Cbc [Ah] (Battery cell capacity)</t>
  </si>
  <si>
    <t>Cbp [Ah] (Battery pack capacity)</t>
  </si>
  <si>
    <t>Ncb [-] (Number of cells of the battery pack)</t>
  </si>
  <si>
    <t>mbc [kg] (mass of each battery cell)</t>
  </si>
  <si>
    <t>mbp [kg] (battery mass pack)</t>
  </si>
  <si>
    <t>Vcc(pc) [m3] (volume of each cell)</t>
  </si>
  <si>
    <t>Vbp [m3] (volume of the battery pack)</t>
  </si>
  <si>
    <t>Charge Current [A]</t>
  </si>
  <si>
    <t>Constant Discharge Current [A]</t>
  </si>
  <si>
    <t>C-rate_bcc[1/h] (continuous C-rate of the battery cell)(charge)</t>
  </si>
  <si>
    <t>C-rate_bcc[1/h] (continuous C-rate of the battery cell)(discharge)</t>
  </si>
  <si>
    <t>C-rate_bcp[1/h] (peak C-rate of the battery cell)</t>
  </si>
  <si>
    <t>Ispc [A] (string peak current)</t>
  </si>
  <si>
    <t>Ibpp[A] (battery pack pack current)</t>
  </si>
  <si>
    <t>Iscc [A] (string continuous current) (charge)</t>
  </si>
  <si>
    <t>Ibpc[A] (battery pack continuous current) (charge)</t>
  </si>
  <si>
    <t>Pbpc[W] (battery pack continuous power) (charge)</t>
  </si>
  <si>
    <t>Iscc [A] (string continuous current) (discharge)</t>
  </si>
  <si>
    <t>Ibpc[A] (battery pack continuous current) (discharge)</t>
  </si>
  <si>
    <t>Baterías LFP (LiFePO4)</t>
  </si>
  <si>
    <t>Batería</t>
  </si>
  <si>
    <t>URB1270</t>
  </si>
  <si>
    <t>PSL-SC-12500</t>
  </si>
  <si>
    <t>U27-36XP</t>
  </si>
  <si>
    <t>Ultralife</t>
  </si>
  <si>
    <t>PowerSonic</t>
  </si>
  <si>
    <t>Valence</t>
  </si>
  <si>
    <t>Promedio LFP</t>
  </si>
  <si>
    <t>Marca</t>
  </si>
  <si>
    <t>Ciclos de Vida</t>
  </si>
  <si>
    <t>Tecnología</t>
  </si>
  <si>
    <t>LFP</t>
  </si>
  <si>
    <t>Specific energy [Wh/kg]</t>
  </si>
  <si>
    <t>Celdas</t>
  </si>
  <si>
    <t>Energy Density [Wh/kg]</t>
  </si>
  <si>
    <t>Power Discharge [kW]</t>
  </si>
  <si>
    <t>Volume density [Wh/L]</t>
  </si>
  <si>
    <t>Battery Cell Weight min [kg]</t>
  </si>
  <si>
    <t>Battery Cell Weight [kg]</t>
  </si>
  <si>
    <t>Battery Cell Weight max [kg]</t>
  </si>
  <si>
    <t>Energy min [Wh]</t>
  </si>
  <si>
    <t>Energy max [Wh]</t>
  </si>
  <si>
    <t>Energy [Wh]</t>
  </si>
  <si>
    <t>Motor Main Diesel Cat3516B</t>
  </si>
  <si>
    <t>Length [mm]</t>
  </si>
  <si>
    <t>Dim A (mm)</t>
  </si>
  <si>
    <t>Width [mm]</t>
  </si>
  <si>
    <t>Dim B (mm)</t>
  </si>
  <si>
    <t>Thickness [mm]</t>
  </si>
  <si>
    <t>Dim C (mm)</t>
  </si>
  <si>
    <t>Volume [m3]</t>
  </si>
  <si>
    <t>Volume [L]</t>
  </si>
  <si>
    <t>Vdiesel (mm3)</t>
  </si>
  <si>
    <t>Vdiesel (m3)</t>
  </si>
  <si>
    <t>Vdiesel (L)</t>
  </si>
  <si>
    <t>mdiesel (kg)</t>
  </si>
  <si>
    <t>Battery  Pack DAMEN ASD TUG 2810</t>
  </si>
  <si>
    <t>Total number</t>
  </si>
  <si>
    <t>Vbatt (L)</t>
  </si>
  <si>
    <t>mbatt( kg)</t>
  </si>
  <si>
    <t>Gen Set</t>
  </si>
  <si>
    <t>mgenset( kg)</t>
  </si>
  <si>
    <t>3801.63</t>
  </si>
  <si>
    <t>Peak Discharge Current [A] @ 1s</t>
  </si>
  <si>
    <t>Pbpp [kW] (battery pack peak power)</t>
  </si>
  <si>
    <t>Pbpc[kW] (battery pack continuous power) (charge)</t>
  </si>
  <si>
    <t>Pbpc[kW] (battery pack continuous power) (discharge)</t>
  </si>
  <si>
    <t>ABL-012010P</t>
  </si>
  <si>
    <t>ABL-012030P</t>
  </si>
  <si>
    <t>E4050T1</t>
  </si>
  <si>
    <t>Baterías NMC (LiNiMnCo02)</t>
  </si>
  <si>
    <t>Aegis Battery</t>
  </si>
  <si>
    <t>Corvus Energy</t>
  </si>
  <si>
    <t>AEGIS1</t>
  </si>
  <si>
    <t>AEGIS2</t>
  </si>
  <si>
    <t>Avg</t>
  </si>
  <si>
    <t>NMC</t>
  </si>
  <si>
    <t>Celdas Totales</t>
  </si>
  <si>
    <t>Weight [kg]</t>
  </si>
  <si>
    <t>Energy Density [Wh/L]</t>
  </si>
  <si>
    <t>Peak Discharge Current [A] @2s</t>
  </si>
  <si>
    <t>Baterías LTO (Li2TiO3)</t>
  </si>
  <si>
    <t>SLB12400L151</t>
  </si>
  <si>
    <t>SLB08115L140</t>
  </si>
  <si>
    <t>ELB 1500mAh LTO</t>
  </si>
  <si>
    <t>Nichicon 1</t>
  </si>
  <si>
    <t>Nichicon 2</t>
  </si>
  <si>
    <t>ECO Lithium</t>
  </si>
  <si>
    <t>Nichicon</t>
  </si>
  <si>
    <t>Eco Lotithium Battery</t>
  </si>
  <si>
    <t xml:space="preserve">LTO  </t>
  </si>
  <si>
    <t>LTO</t>
  </si>
  <si>
    <t xml:space="preserve"> Weight [kg]</t>
  </si>
  <si>
    <t>Energy Density [Wh/Kg]</t>
  </si>
  <si>
    <t>Diam [mm]</t>
  </si>
  <si>
    <t>Radio [mm]</t>
  </si>
  <si>
    <t>Height [mm]</t>
  </si>
  <si>
    <t>Baterías Ion Litio</t>
  </si>
  <si>
    <t>Porcentajes Baterías NMC (LiNiMnCo02)</t>
  </si>
  <si>
    <t>Porcentajes Baterías LTO (Li2TiO3)</t>
  </si>
  <si>
    <t>Porcentajes Baterías LFP (LiFePO4)</t>
  </si>
  <si>
    <t>Pot _ 100% [kW]</t>
  </si>
  <si>
    <t>Use Time</t>
  </si>
  <si>
    <t xml:space="preserve">Time </t>
  </si>
  <si>
    <t>Pot [%]</t>
  </si>
  <si>
    <t>Pot_nom[kW]</t>
  </si>
  <si>
    <t>Pot [kW]</t>
  </si>
  <si>
    <t>Rupanco TUG</t>
  </si>
  <si>
    <t>Gross Tonnage (L)</t>
  </si>
  <si>
    <t>Net Tonage (L)</t>
  </si>
  <si>
    <t>Deadweight (kg)</t>
  </si>
  <si>
    <t>Battery Sizing</t>
  </si>
  <si>
    <t>Total</t>
  </si>
  <si>
    <t>Energy Batt [kWh]</t>
  </si>
  <si>
    <t>E_load</t>
  </si>
  <si>
    <t>Energy Required by the load profile (kWh)</t>
  </si>
  <si>
    <t>k_aging</t>
  </si>
  <si>
    <t>Maximum allowable Depth of Discharge (%)</t>
  </si>
  <si>
    <t>DOD_max</t>
  </si>
  <si>
    <t>n_sys</t>
  </si>
  <si>
    <t>k_temp</t>
  </si>
  <si>
    <t>E_de</t>
  </si>
  <si>
    <t>C-rate</t>
  </si>
  <si>
    <t>P_batt (kW)</t>
  </si>
  <si>
    <t>k_c-rate</t>
  </si>
  <si>
    <t>Equivalent Energy Demand (kWh)</t>
  </si>
  <si>
    <t>Capacity rating factor (-)</t>
  </si>
  <si>
    <t>Temperature correction factor (-)</t>
  </si>
  <si>
    <t>System efficiency (path from the battery to propeller) (%)</t>
  </si>
  <si>
    <t>Battery Aging factor (over-sizing for end-of-life) (%)</t>
  </si>
  <si>
    <t>E_batt_out</t>
  </si>
  <si>
    <t>E_BOL</t>
  </si>
  <si>
    <t>E_EOL</t>
  </si>
  <si>
    <t>E_final</t>
  </si>
  <si>
    <t>Nsc [-] (Number of cell in string)</t>
  </si>
  <si>
    <t>Nbp [-] (Number of cells of the battery pack)</t>
  </si>
  <si>
    <t>Vbc [m3] (volume of each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</si>
</sst>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000000"/>
  </numFmts>
  <fonts count="2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b/>
      <sz val="12"/>
      <color theme="1"/>
      <name val="Aptos Narrow"/>
    </font>
    <font>
      <b/>
      <i/>
      <sz val="11"/>
      <color theme="1"/>
      <name val="Aptos Narrow"/>
    </font>
    <font>
      <i/>
      <sz val="11"/>
      <color theme="1"/>
      <name val="Aptos Narrow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rgb="FFFFC000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05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8" fillId="0" borderId="0" xfId="0" applyFont="1" applyAlignment="1">
      <alignment horizontal="center"/>
    </xf>
    <xf numFmtId="0" fontId="7" fillId="2" borderId="1" xfId="0" applyFont="1" applyFill="1" applyBorder="1"/>
    <xf numFmtId="2" fontId="7" fillId="0" borderId="0" xfId="0" applyNumberFormat="1" applyFont="1"/>
    <xf numFmtId="0" fontId="8" fillId="0" borderId="0" xfId="0" applyFont="1"/>
    <xf numFmtId="0" fontId="7" fillId="3" borderId="1" xfId="0" applyFont="1" applyFill="1" applyBorder="1"/>
    <xf numFmtId="0" fontId="8" fillId="3" borderId="1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/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/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4" borderId="1" xfId="0" applyFont="1" applyFill="1" applyBorder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6" fillId="0" borderId="0" xfId="0" applyFont="1" applyAlignment="1">
      <alignment horizontal="right"/>
    </xf>
    <xf numFmtId="165" fontId="7" fillId="0" borderId="0" xfId="0" applyNumberFormat="1" applyFont="1"/>
    <xf numFmtId="166" fontId="7" fillId="0" borderId="0" xfId="0" applyNumberFormat="1" applyFont="1"/>
    <xf numFmtId="0" fontId="7" fillId="5" borderId="1" xfId="0" applyFont="1" applyFill="1" applyBorder="1"/>
    <xf numFmtId="166" fontId="7" fillId="0" borderId="0" xfId="0" applyNumberFormat="1" applyFont="1" applyAlignment="1">
      <alignment horizontal="right"/>
    </xf>
    <xf numFmtId="167" fontId="7" fillId="0" borderId="0" xfId="0" applyNumberFormat="1" applyFont="1"/>
    <xf numFmtId="166" fontId="6" fillId="0" borderId="0" xfId="0" applyNumberFormat="1" applyFont="1"/>
    <xf numFmtId="0" fontId="7" fillId="0" borderId="5" xfId="0" applyFont="1" applyBorder="1"/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/>
    <xf numFmtId="2" fontId="7" fillId="0" borderId="5" xfId="0" applyNumberFormat="1" applyFont="1" applyBorder="1"/>
    <xf numFmtId="2" fontId="7" fillId="0" borderId="5" xfId="0" applyNumberFormat="1" applyFont="1" applyBorder="1" applyAlignment="1">
      <alignment horizontal="center"/>
    </xf>
    <xf numFmtId="0" fontId="5" fillId="0" borderId="0" xfId="0" applyFont="1"/>
    <xf numFmtId="0" fontId="17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" fontId="17" fillId="0" borderId="0" xfId="0" applyNumberFormat="1" applyFont="1"/>
    <xf numFmtId="0" fontId="18" fillId="0" borderId="0" xfId="0" applyFont="1"/>
    <xf numFmtId="9" fontId="17" fillId="0" borderId="0" xfId="0" applyNumberFormat="1" applyFont="1"/>
    <xf numFmtId="2" fontId="17" fillId="0" borderId="0" xfId="0" applyNumberFormat="1" applyFont="1"/>
    <xf numFmtId="9" fontId="5" fillId="0" borderId="0" xfId="1" applyFont="1"/>
    <xf numFmtId="0" fontId="16" fillId="0" borderId="0" xfId="0" applyFont="1"/>
    <xf numFmtId="9" fontId="18" fillId="0" borderId="0" xfId="1" applyFont="1"/>
    <xf numFmtId="1" fontId="18" fillId="0" borderId="0" xfId="0" applyNumberFormat="1" applyFont="1"/>
    <xf numFmtId="9" fontId="5" fillId="0" borderId="0" xfId="0" applyNumberFormat="1" applyFont="1"/>
    <xf numFmtId="0" fontId="4" fillId="0" borderId="0" xfId="0" applyFont="1"/>
    <xf numFmtId="0" fontId="19" fillId="6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" fontId="0" fillId="0" borderId="0" xfId="0" applyNumberFormat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5" fillId="0" borderId="1" xfId="0" applyFont="1" applyBorder="1"/>
    <xf numFmtId="1" fontId="17" fillId="0" borderId="1" xfId="0" applyNumberFormat="1" applyFont="1" applyBorder="1"/>
    <xf numFmtId="0" fontId="0" fillId="0" borderId="1" xfId="0" applyBorder="1"/>
    <xf numFmtId="9" fontId="17" fillId="0" borderId="1" xfId="0" applyNumberFormat="1" applyFont="1" applyBorder="1"/>
    <xf numFmtId="9" fontId="17" fillId="0" borderId="1" xfId="1" applyFont="1" applyBorder="1"/>
    <xf numFmtId="0" fontId="3" fillId="0" borderId="1" xfId="0" applyFont="1" applyBorder="1" applyAlignment="1">
      <alignment horizontal="left"/>
    </xf>
    <xf numFmtId="1" fontId="0" fillId="0" borderId="1" xfId="0" applyNumberFormat="1" applyBorder="1"/>
    <xf numFmtId="9" fontId="0" fillId="0" borderId="1" xfId="1" applyFont="1" applyBorder="1"/>
    <xf numFmtId="0" fontId="20" fillId="0" borderId="0" xfId="0" applyFont="1"/>
    <xf numFmtId="0" fontId="19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19" fillId="6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8" fillId="7" borderId="1" xfId="0" applyFont="1" applyFill="1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21" fillId="6" borderId="0" xfId="0" applyFont="1" applyFill="1"/>
    <xf numFmtId="0" fontId="19" fillId="10" borderId="1" xfId="0" applyFont="1" applyFill="1" applyBorder="1"/>
    <xf numFmtId="0" fontId="19" fillId="2" borderId="1" xfId="0" applyFont="1" applyFill="1" applyBorder="1"/>
    <xf numFmtId="0" fontId="7" fillId="0" borderId="1" xfId="0" applyFont="1" applyBorder="1"/>
    <xf numFmtId="2" fontId="7" fillId="0" borderId="1" xfId="0" applyNumberFormat="1" applyFont="1" applyBorder="1"/>
    <xf numFmtId="0" fontId="6" fillId="11" borderId="0" xfId="0" applyFont="1" applyFill="1"/>
    <xf numFmtId="1" fontId="7" fillId="6" borderId="5" xfId="0" applyNumberFormat="1" applyFont="1" applyFill="1" applyBorder="1" applyAlignment="1">
      <alignment horizontal="center"/>
    </xf>
    <xf numFmtId="2" fontId="7" fillId="6" borderId="5" xfId="0" applyNumberFormat="1" applyFont="1" applyFill="1" applyBorder="1" applyAlignment="1">
      <alignment horizontal="center"/>
    </xf>
    <xf numFmtId="0" fontId="7" fillId="6" borderId="5" xfId="0" applyFont="1" applyFill="1" applyBorder="1"/>
    <xf numFmtId="1" fontId="7" fillId="6" borderId="5" xfId="0" applyNumberFormat="1" applyFont="1" applyFill="1" applyBorder="1"/>
    <xf numFmtId="2" fontId="7" fillId="6" borderId="5" xfId="0" applyNumberFormat="1" applyFont="1" applyFill="1" applyBorder="1"/>
    <xf numFmtId="43" fontId="7" fillId="0" borderId="5" xfId="2" applyFont="1" applyBorder="1"/>
    <xf numFmtId="0" fontId="0" fillId="0" borderId="6" xfId="0" applyBorder="1"/>
    <xf numFmtId="1" fontId="0" fillId="0" borderId="6" xfId="0" applyNumberFormat="1" applyBorder="1"/>
    <xf numFmtId="2" fontId="0" fillId="0" borderId="6" xfId="0" applyNumberFormat="1" applyBorder="1"/>
    <xf numFmtId="0" fontId="0" fillId="6" borderId="6" xfId="0" applyFill="1" applyBorder="1"/>
    <xf numFmtId="1" fontId="0" fillId="6" borderId="6" xfId="0" applyNumberFormat="1" applyFill="1" applyBorder="1"/>
    <xf numFmtId="0" fontId="2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LFP!$P$3</c:f>
              <c:strCache>
                <c:ptCount val="1"/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LFP!$O$4:$O$8</c:f>
              <c:numCache>
                <c:formatCode>General</c:formatCode>
                <c:ptCount val="5"/>
              </c:numCache>
            </c:numRef>
          </c:cat>
          <c:val>
            <c:numRef>
              <c:f>LFP!$P$4:$P$8</c:f>
              <c:numCache>
                <c:formatCode>0.000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6EB4-4078-9278-B6FE21A79CB4}"/>
            </c:ext>
          </c:extLst>
        </c:ser>
        <c:ser>
          <c:idx val="1"/>
          <c:order val="1"/>
          <c:tx>
            <c:strRef>
              <c:f>LFP!$Q$3</c:f>
              <c:strCache>
                <c:ptCount val="1"/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LFP!$O$4:$O$8</c:f>
              <c:numCache>
                <c:formatCode>General</c:formatCode>
                <c:ptCount val="5"/>
              </c:numCache>
            </c:numRef>
          </c:cat>
          <c:val>
            <c:numRef>
              <c:f>LFP!$Q$4:$Q$8</c:f>
              <c:numCache>
                <c:formatCode>0.000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6EB4-4078-9278-B6FE21A79CB4}"/>
            </c:ext>
          </c:extLst>
        </c:ser>
        <c:ser>
          <c:idx val="2"/>
          <c:order val="2"/>
          <c:tx>
            <c:strRef>
              <c:f>LFP!$R$3</c:f>
              <c:strCache>
                <c:ptCount val="1"/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numRef>
              <c:f>LFP!$O$4:$O$8</c:f>
              <c:numCache>
                <c:formatCode>General</c:formatCode>
                <c:ptCount val="5"/>
              </c:numCache>
            </c:numRef>
          </c:cat>
          <c:val>
            <c:numRef>
              <c:f>LFP!$R$4:$R$8</c:f>
              <c:numCache>
                <c:formatCode>0.000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6EB4-4078-9278-B6FE21A79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314233"/>
        <c:axId val="569576675"/>
      </c:radarChart>
      <c:catAx>
        <c:axId val="1403314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569576675"/>
        <c:crosses val="autoZero"/>
        <c:auto val="1"/>
        <c:lblAlgn val="ctr"/>
        <c:lblOffset val="100"/>
        <c:noMultiLvlLbl val="1"/>
      </c:catAx>
      <c:valAx>
        <c:axId val="569576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403314233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Espacio [-]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LFP!$P$4:$R$4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A9-4C10-AEFC-A0B8CC0FD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09630"/>
        <c:axId val="1633506441"/>
      </c:barChart>
      <c:catAx>
        <c:axId val="227109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33506441"/>
        <c:crosses val="autoZero"/>
        <c:auto val="1"/>
        <c:lblAlgn val="ctr"/>
        <c:lblOffset val="100"/>
        <c:noMultiLvlLbl val="1"/>
      </c:catAx>
      <c:valAx>
        <c:axId val="1633506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2710963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Specific energy [Wh/kg]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LFP!$P$5:$R$5</c:f>
              <c:numCache>
                <c:formatCode>0.000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29-4A85-8E59-7A133A7A0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6452373"/>
        <c:axId val="683350536"/>
      </c:barChart>
      <c:catAx>
        <c:axId val="2106452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683350536"/>
        <c:crosses val="autoZero"/>
        <c:auto val="1"/>
        <c:lblAlgn val="ctr"/>
        <c:lblOffset val="100"/>
        <c:noMultiLvlLbl val="1"/>
      </c:catAx>
      <c:valAx>
        <c:axId val="683350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10645237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Volume density [Wh/m3]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LFP!$P$6:$R$6</c:f>
              <c:numCache>
                <c:formatCode>0.00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36-4002-A7C5-570B4527D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0327849"/>
        <c:axId val="1826827554"/>
      </c:barChart>
      <c:catAx>
        <c:axId val="350327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826827554"/>
        <c:crosses val="autoZero"/>
        <c:auto val="1"/>
        <c:lblAlgn val="ctr"/>
        <c:lblOffset val="100"/>
        <c:noMultiLvlLbl val="1"/>
      </c:catAx>
      <c:valAx>
        <c:axId val="1826827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35032784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Power Discharge [kW]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LFP!$P$7:$R$7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85-4251-BE5C-76D984199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032776"/>
        <c:axId val="699185025"/>
      </c:barChart>
      <c:catAx>
        <c:axId val="126603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699185025"/>
        <c:crosses val="autoZero"/>
        <c:auto val="1"/>
        <c:lblAlgn val="ctr"/>
        <c:lblOffset val="100"/>
        <c:noMultiLvlLbl val="1"/>
      </c:catAx>
      <c:valAx>
        <c:axId val="699185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2660327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Power Peak [kW]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LFP!$P$8:$R$8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09-4346-A989-1244F332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4216653"/>
        <c:axId val="1769403845"/>
      </c:barChart>
      <c:catAx>
        <c:axId val="1054216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769403845"/>
        <c:crosses val="autoZero"/>
        <c:auto val="1"/>
        <c:lblAlgn val="ctr"/>
        <c:lblOffset val="100"/>
        <c:noMultiLvlLbl val="1"/>
      </c:catAx>
      <c:valAx>
        <c:axId val="1769403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0542166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419" sz="1400" b="0" i="0">
                <a:solidFill>
                  <a:srgbClr val="757575"/>
                </a:solidFill>
                <a:latin typeface="+mn-lt"/>
              </a:rPr>
              <a:t>Baterías NMC (LiNiMnCo02)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Radar_Plot!$D$14</c:f>
              <c:strCache>
                <c:ptCount val="1"/>
                <c:pt idx="0">
                  <c:v>AEGIS1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Radar_Plot!$D$15:$D$19</c:f>
              <c:numCache>
                <c:formatCode>0.00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0.91592534772858758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0-4272-81BB-184C9CC9A992}"/>
            </c:ext>
          </c:extLst>
        </c:ser>
        <c:ser>
          <c:idx val="1"/>
          <c:order val="1"/>
          <c:tx>
            <c:strRef>
              <c:f>Radar_Plot!$E$14</c:f>
              <c:strCache>
                <c:ptCount val="1"/>
                <c:pt idx="0">
                  <c:v>AEGIS2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Radar_Plot!$E$15:$E$19</c:f>
              <c:numCache>
                <c:formatCode>0.00</c:formatCode>
                <c:ptCount val="5"/>
                <c:pt idx="0">
                  <c:v>0.5</c:v>
                </c:pt>
                <c:pt idx="1">
                  <c:v>0.33333333333333331</c:v>
                </c:pt>
                <c:pt idx="2">
                  <c:v>0.87499999999999989</c:v>
                </c:pt>
                <c:pt idx="3">
                  <c:v>0.70220943325858376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0-4272-81BB-184C9CC9A992}"/>
            </c:ext>
          </c:extLst>
        </c:ser>
        <c:ser>
          <c:idx val="2"/>
          <c:order val="2"/>
          <c:tx>
            <c:strRef>
              <c:f>Radar_Plot!$F$14</c:f>
              <c:strCache>
                <c:ptCount val="1"/>
                <c:pt idx="0">
                  <c:v>Corvus Energy</c:v>
                </c:pt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Radar_Plot!$F$15:$F$19</c:f>
              <c:numCache>
                <c:formatCode>0.00</c:formatCode>
                <c:ptCount val="5"/>
                <c:pt idx="0">
                  <c:v>1</c:v>
                </c:pt>
                <c:pt idx="1">
                  <c:v>0.28137490007993604</c:v>
                </c:pt>
                <c:pt idx="2">
                  <c:v>0.16882494004796161</c:v>
                </c:pt>
                <c:pt idx="3">
                  <c:v>1</c:v>
                </c:pt>
                <c:pt idx="4">
                  <c:v>0.85947242206235008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0-4272-81BB-184C9CC9A992}"/>
            </c:ext>
          </c:extLst>
        </c:ser>
        <c:ser>
          <c:idx val="3"/>
          <c:order val="3"/>
          <c:tx>
            <c:strRef>
              <c:f>Radar_Plot!$G$14</c:f>
              <c:strCache>
                <c:ptCount val="1"/>
                <c:pt idx="0">
                  <c:v>NMC</c:v>
                </c:pt>
              </c:strCache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Radar_Plot!$G$15:$G$19</c:f>
              <c:numCache>
                <c:formatCode>0.00</c:formatCode>
                <c:ptCount val="5"/>
                <c:pt idx="0">
                  <c:v>0.66666666666666663</c:v>
                </c:pt>
                <c:pt idx="1">
                  <c:v>0.53823607780442317</c:v>
                </c:pt>
                <c:pt idx="2">
                  <c:v>0.68127498001598719</c:v>
                </c:pt>
                <c:pt idx="3">
                  <c:v>0.87271159366239037</c:v>
                </c:pt>
                <c:pt idx="4">
                  <c:v>0.78649080735411669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0-4272-81BB-184C9CC9A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61141"/>
        <c:axId val="1689731577"/>
      </c:radarChart>
      <c:catAx>
        <c:axId val="151926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89731577"/>
        <c:crosses val="autoZero"/>
        <c:auto val="1"/>
        <c:lblAlgn val="ctr"/>
        <c:lblOffset val="100"/>
        <c:noMultiLvlLbl val="1"/>
      </c:catAx>
      <c:valAx>
        <c:axId val="1689731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1926114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Radar Plot Comparation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Radar_Plot!$AJ$14</c:f>
              <c:strCache>
                <c:ptCount val="1"/>
                <c:pt idx="0">
                  <c:v>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Radar_Plot!$AI$15:$AI$19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Radar_Plot!$AJ$15:$AJ$19</c:f>
              <c:numCache>
                <c:formatCode>General</c:formatCode>
                <c:ptCount val="5"/>
                <c:pt idx="0" formatCode="0.00">
                  <c:v>0.53320000000000001</c:v>
                </c:pt>
                <c:pt idx="1">
                  <c:v>1</c:v>
                </c:pt>
                <c:pt idx="2" formatCode="0.00">
                  <c:v>0.45516583670167204</c:v>
                </c:pt>
                <c:pt idx="3" formatCode="0.00">
                  <c:v>0.480298530124462</c:v>
                </c:pt>
                <c:pt idx="4" formatCode="0.00">
                  <c:v>0.59423222104786355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E-460D-B2FE-635787482173}"/>
            </c:ext>
          </c:extLst>
        </c:ser>
        <c:ser>
          <c:idx val="1"/>
          <c:order val="1"/>
          <c:tx>
            <c:strRef>
              <c:f>Radar_Plot!$AK$14</c:f>
              <c:strCache>
                <c:ptCount val="1"/>
                <c:pt idx="0">
                  <c:v>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Radar_Plot!$AI$15:$AI$19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Radar_Plot!$AK$15:$AK$19</c:f>
              <c:numCache>
                <c:formatCode>0.00</c:formatCode>
                <c:ptCount val="5"/>
                <c:pt idx="0" formatCode="0">
                  <c:v>1</c:v>
                </c:pt>
                <c:pt idx="1">
                  <c:v>0.92069778406412062</c:v>
                </c:pt>
                <c:pt idx="2" formatCode="0">
                  <c:v>1</c:v>
                </c:pt>
                <c:pt idx="3" formatCode="0">
                  <c:v>1</c:v>
                </c:pt>
                <c:pt idx="4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E-460D-B2FE-635787482173}"/>
            </c:ext>
          </c:extLst>
        </c:ser>
        <c:ser>
          <c:idx val="2"/>
          <c:order val="2"/>
          <c:tx>
            <c:strRef>
              <c:f>Radar_Plot!$AL$14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Radar_Plot!$AI$15:$AI$19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Radar_Plot!$AL$15:$AL$19</c:f>
              <c:numCache>
                <c:formatCode>0.00</c:formatCode>
                <c:ptCount val="5"/>
                <c:pt idx="0">
                  <c:v>0.76659999999999995</c:v>
                </c:pt>
                <c:pt idx="1">
                  <c:v>0.96034889203206031</c:v>
                </c:pt>
                <c:pt idx="2">
                  <c:v>0.72758291835083599</c:v>
                </c:pt>
                <c:pt idx="3">
                  <c:v>0.74014926506223111</c:v>
                </c:pt>
                <c:pt idx="4">
                  <c:v>0.79711611052393172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E-460D-B2FE-63578748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418735"/>
        <c:axId val="739414895"/>
      </c:radarChart>
      <c:catAx>
        <c:axId val="7394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39414895"/>
        <c:crosses val="autoZero"/>
        <c:auto val="1"/>
        <c:lblAlgn val="ctr"/>
        <c:lblOffset val="100"/>
        <c:noMultiLvlLbl val="0"/>
      </c:catAx>
      <c:valAx>
        <c:axId val="7394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394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Radar_Plot!$AB$14</c:f>
              <c:strCache>
                <c:ptCount val="1"/>
                <c:pt idx="0">
                  <c:v>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Radar_Plot!$AB$15:$AB$19</c:f>
              <c:numCache>
                <c:formatCode>0.00</c:formatCode>
                <c:ptCount val="5"/>
                <c:pt idx="0">
                  <c:v>9.9999999999999992E-2</c:v>
                </c:pt>
                <c:pt idx="1">
                  <c:v>4.103498850422983E-4</c:v>
                </c:pt>
                <c:pt idx="2" formatCode="_(* #,##0.00_);_(* \(#,##0.00\);_(* &quot;-&quot;??_);_(@_)">
                  <c:v>4.5683863596521761E-2</c:v>
                </c:pt>
                <c:pt idx="3">
                  <c:v>1.8873403539199612E-2</c:v>
                </c:pt>
                <c:pt idx="4">
                  <c:v>0.59423222104786355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2-4161-A8C3-E8B4A1E380BE}"/>
            </c:ext>
          </c:extLst>
        </c:ser>
        <c:ser>
          <c:idx val="1"/>
          <c:order val="1"/>
          <c:tx>
            <c:strRef>
              <c:f>Radar_Plot!$AC$14</c:f>
              <c:strCache>
                <c:ptCount val="1"/>
                <c:pt idx="0">
                  <c:v>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Radar_Plot!$AC$15:$AC$19</c:f>
              <c:numCache>
                <c:formatCode>0.00</c:formatCode>
                <c:ptCount val="5"/>
                <c:pt idx="0">
                  <c:v>0.1875</c:v>
                </c:pt>
                <c:pt idx="1">
                  <c:v>3.778082298494107E-4</c:v>
                </c:pt>
                <c:pt idx="2" formatCode="_(* #,##0.00_);_(* \(#,##0.00\);_(* &quot;-&quot;??_);_(@_)">
                  <c:v>0.10036751423957198</c:v>
                </c:pt>
                <c:pt idx="3">
                  <c:v>3.9295151568148376E-2</c:v>
                </c:pt>
                <c:pt idx="4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2-4161-A8C3-E8B4A1E380BE}"/>
            </c:ext>
          </c:extLst>
        </c:ser>
        <c:ser>
          <c:idx val="2"/>
          <c:order val="2"/>
          <c:tx>
            <c:strRef>
              <c:f>Radar_Plot!$AD$14</c:f>
              <c:strCache>
                <c:ptCount val="1"/>
                <c:pt idx="0">
                  <c:v>LTO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Radar_Plot!$AD$15:$AD$19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 formatCode="0.00">
                  <c:v>0.6223144798429715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2-4161-A8C3-E8B4A1E380BE}"/>
            </c:ext>
          </c:extLst>
        </c:ser>
        <c:ser>
          <c:idx val="3"/>
          <c:order val="3"/>
          <c:tx>
            <c:strRef>
              <c:f>Radar_Plot!$AE$14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Radar_Plot!$AE$15:$AE$19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1EA2-4161-A8C3-E8B4A1E3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709151"/>
        <c:axId val="718702911"/>
      </c:radarChart>
      <c:catAx>
        <c:axId val="7187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8702911"/>
        <c:crosses val="autoZero"/>
        <c:auto val="1"/>
        <c:lblAlgn val="ctr"/>
        <c:lblOffset val="100"/>
        <c:noMultiLvlLbl val="0"/>
      </c:catAx>
      <c:valAx>
        <c:axId val="71870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71870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504825</xdr:colOff>
      <xdr:row>41</xdr:row>
      <xdr:rowOff>133350</xdr:rowOff>
    </xdr:from>
    <xdr:ext cx="5800725" cy="2886075"/>
    <xdr:graphicFrame macro="">
      <xdr:nvGraphicFramePr>
        <xdr:cNvPr id="483829367" name="Chart 4">
          <a:extLst>
            <a:ext uri="{FF2B5EF4-FFF2-40B4-BE49-F238E27FC236}">
              <a16:creationId xmlns:a16="http://schemas.microsoft.com/office/drawing/2014/main" id="{00000000-0008-0000-0300-000077A6D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314325</xdr:colOff>
      <xdr:row>17</xdr:row>
      <xdr:rowOff>47625</xdr:rowOff>
    </xdr:from>
    <xdr:ext cx="5200650" cy="2876550"/>
    <xdr:graphicFrame macro="">
      <xdr:nvGraphicFramePr>
        <xdr:cNvPr id="1408291080" name="Chart 5">
          <a:extLst>
            <a:ext uri="{FF2B5EF4-FFF2-40B4-BE49-F238E27FC236}">
              <a16:creationId xmlns:a16="http://schemas.microsoft.com/office/drawing/2014/main" id="{00000000-0008-0000-0300-000008D1F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19</xdr:col>
      <xdr:colOff>0</xdr:colOff>
      <xdr:row>17</xdr:row>
      <xdr:rowOff>47625</xdr:rowOff>
    </xdr:from>
    <xdr:ext cx="6267450" cy="2876550"/>
    <xdr:graphicFrame macro="">
      <xdr:nvGraphicFramePr>
        <xdr:cNvPr id="759695327" name="Chart 6">
          <a:extLst>
            <a:ext uri="{FF2B5EF4-FFF2-40B4-BE49-F238E27FC236}">
              <a16:creationId xmlns:a16="http://schemas.microsoft.com/office/drawing/2014/main" id="{00000000-0008-0000-0300-0000DF074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19</xdr:col>
      <xdr:colOff>0</xdr:colOff>
      <xdr:row>32</xdr:row>
      <xdr:rowOff>19050</xdr:rowOff>
    </xdr:from>
    <xdr:ext cx="6267450" cy="2876550"/>
    <xdr:graphicFrame macro="">
      <xdr:nvGraphicFramePr>
        <xdr:cNvPr id="615574697" name="Chart 7">
          <a:extLst>
            <a:ext uri="{FF2B5EF4-FFF2-40B4-BE49-F238E27FC236}">
              <a16:creationId xmlns:a16="http://schemas.microsoft.com/office/drawing/2014/main" id="{00000000-0008-0000-0300-0000A9ECB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25</xdr:col>
      <xdr:colOff>657225</xdr:colOff>
      <xdr:row>32</xdr:row>
      <xdr:rowOff>38100</xdr:rowOff>
    </xdr:from>
    <xdr:ext cx="5505450" cy="2876550"/>
    <xdr:graphicFrame macro="">
      <xdr:nvGraphicFramePr>
        <xdr:cNvPr id="1360362190" name="Chart 8">
          <a:extLst>
            <a:ext uri="{FF2B5EF4-FFF2-40B4-BE49-F238E27FC236}">
              <a16:creationId xmlns:a16="http://schemas.microsoft.com/office/drawing/2014/main" id="{00000000-0008-0000-0300-0000CE7A1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19</xdr:col>
      <xdr:colOff>733425</xdr:colOff>
      <xdr:row>48</xdr:row>
      <xdr:rowOff>0</xdr:rowOff>
    </xdr:from>
    <xdr:ext cx="5553075" cy="2876550"/>
    <xdr:graphicFrame macro="">
      <xdr:nvGraphicFramePr>
        <xdr:cNvPr id="774212368" name="Chart 9">
          <a:extLst>
            <a:ext uri="{FF2B5EF4-FFF2-40B4-BE49-F238E27FC236}">
              <a16:creationId xmlns:a16="http://schemas.microsoft.com/office/drawing/2014/main" id="{00000000-0008-0000-0300-0000108B2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733425</xdr:colOff>
      <xdr:row>19</xdr:row>
      <xdr:rowOff>180975</xdr:rowOff>
    </xdr:from>
    <xdr:ext cx="6772275" cy="4019550"/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1BFD5607-206E-425C-A36A-7652E86ED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33</xdr:col>
      <xdr:colOff>472587</xdr:colOff>
      <xdr:row>20</xdr:row>
      <xdr:rowOff>64476</xdr:rowOff>
    </xdr:from>
    <xdr:to>
      <xdr:col>38</xdr:col>
      <xdr:colOff>406644</xdr:colOff>
      <xdr:row>34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A2545C-A54B-1E92-9E16-54797585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567836</xdr:colOff>
      <xdr:row>20</xdr:row>
      <xdr:rowOff>152399</xdr:rowOff>
    </xdr:from>
    <xdr:to>
      <xdr:col>31</xdr:col>
      <xdr:colOff>69605</xdr:colOff>
      <xdr:row>34</xdr:row>
      <xdr:rowOff>126022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D341AB-7F7D-D152-B9AA-53AE33AD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2F4F-1FCC-4A05-B94A-85C218C31F18}">
  <dimension ref="A5:N59"/>
  <sheetViews>
    <sheetView topLeftCell="A6" workbookViewId="0">
      <selection activeCell="I15" sqref="I15"/>
    </sheetView>
  </sheetViews>
  <sheetFormatPr baseColWidth="10" defaultRowHeight="15"/>
  <cols>
    <col min="1" max="1" width="14.42578125" bestFit="1" customWidth="1"/>
    <col min="5" max="5" width="12.5703125" bestFit="1" customWidth="1"/>
    <col min="6" max="6" width="16.140625" bestFit="1" customWidth="1"/>
    <col min="8" max="9" width="12.5703125" bestFit="1" customWidth="1"/>
    <col min="10" max="10" width="12" bestFit="1" customWidth="1"/>
    <col min="11" max="11" width="12.140625" bestFit="1" customWidth="1"/>
    <col min="12" max="12" width="18.7109375" bestFit="1" customWidth="1"/>
    <col min="13" max="13" width="8.28515625" bestFit="1" customWidth="1"/>
    <col min="14" max="15" width="12" bestFit="1" customWidth="1"/>
  </cols>
  <sheetData>
    <row r="5" spans="1:13" ht="18.75">
      <c r="C5" s="92" t="s">
        <v>118</v>
      </c>
      <c r="D5" s="92"/>
      <c r="E5" s="92"/>
      <c r="F5" s="92"/>
    </row>
    <row r="6" spans="1:13">
      <c r="A6" s="37" t="s">
        <v>108</v>
      </c>
      <c r="B6" s="37" t="s">
        <v>109</v>
      </c>
      <c r="C6" s="37" t="s">
        <v>110</v>
      </c>
      <c r="D6" s="38" t="s">
        <v>111</v>
      </c>
      <c r="E6" s="38" t="s">
        <v>112</v>
      </c>
      <c r="F6" s="66" t="s">
        <v>120</v>
      </c>
      <c r="H6" s="42"/>
    </row>
    <row r="7" spans="1:13">
      <c r="A7" s="37">
        <v>3650</v>
      </c>
      <c r="B7" s="37">
        <v>0.5</v>
      </c>
      <c r="C7" s="37">
        <v>8</v>
      </c>
      <c r="D7" s="38">
        <v>0</v>
      </c>
      <c r="E7" s="38">
        <f t="shared" ref="E7:E27" si="0">2*1825*D7</f>
        <v>0</v>
      </c>
      <c r="F7" s="37">
        <f t="shared" ref="F7:F10" si="1">E7*$B$7</f>
        <v>0</v>
      </c>
      <c r="H7" s="37"/>
      <c r="I7" s="38"/>
      <c r="J7" s="37"/>
      <c r="K7" s="37"/>
    </row>
    <row r="8" spans="1:13">
      <c r="C8" s="37">
        <v>8.5000000000000107</v>
      </c>
      <c r="D8" s="40">
        <v>0</v>
      </c>
      <c r="E8" s="40">
        <f t="shared" si="0"/>
        <v>0</v>
      </c>
      <c r="F8" s="37">
        <f t="shared" si="1"/>
        <v>0</v>
      </c>
      <c r="H8" s="37"/>
      <c r="I8" s="38"/>
      <c r="J8" s="37"/>
      <c r="K8" s="37"/>
    </row>
    <row r="9" spans="1:13">
      <c r="C9" s="37">
        <v>9.0000000000000107</v>
      </c>
      <c r="D9" s="39">
        <v>0.05</v>
      </c>
      <c r="E9" s="39">
        <f t="shared" si="0"/>
        <v>182.5</v>
      </c>
      <c r="F9" s="37">
        <f t="shared" si="1"/>
        <v>91.25</v>
      </c>
      <c r="G9">
        <f>(E9*1000)/780</f>
        <v>233.97435897435898</v>
      </c>
      <c r="H9" s="37"/>
      <c r="I9" s="38"/>
      <c r="J9" s="37"/>
      <c r="K9" s="37"/>
    </row>
    <row r="10" spans="1:13">
      <c r="C10" s="37">
        <v>9.5000000000000195</v>
      </c>
      <c r="D10" s="39">
        <v>0.05</v>
      </c>
      <c r="E10" s="39">
        <f t="shared" si="0"/>
        <v>182.5</v>
      </c>
      <c r="F10" s="37">
        <f t="shared" si="1"/>
        <v>91.25</v>
      </c>
      <c r="H10" s="37"/>
      <c r="I10" s="65"/>
      <c r="J10" s="37"/>
      <c r="K10" s="37"/>
    </row>
    <row r="11" spans="1:13">
      <c r="C11" s="37">
        <v>10</v>
      </c>
      <c r="D11" s="51">
        <v>0.25</v>
      </c>
      <c r="E11" s="51">
        <f t="shared" si="0"/>
        <v>912.5</v>
      </c>
      <c r="F11" s="37">
        <f>E11*$B$7</f>
        <v>456.25</v>
      </c>
      <c r="G11">
        <f>(E11*1000)/780</f>
        <v>1169.8717948717949</v>
      </c>
      <c r="H11" s="37">
        <f>G11-G9</f>
        <v>935.89743589743591</v>
      </c>
      <c r="I11" s="65"/>
      <c r="J11" s="37"/>
      <c r="K11" s="37"/>
    </row>
    <row r="12" spans="1:13">
      <c r="C12" s="37">
        <v>10.5</v>
      </c>
      <c r="D12" s="51">
        <v>0.25</v>
      </c>
      <c r="E12" s="51">
        <f t="shared" si="0"/>
        <v>912.5</v>
      </c>
      <c r="F12" s="37">
        <f>E12*$B$7</f>
        <v>456.25</v>
      </c>
      <c r="H12" s="37"/>
      <c r="I12" s="65"/>
      <c r="J12" s="37"/>
      <c r="K12" s="37"/>
    </row>
    <row r="13" spans="1:13">
      <c r="C13" s="37">
        <v>11</v>
      </c>
      <c r="D13" s="69">
        <v>0.35</v>
      </c>
      <c r="E13" s="69">
        <f t="shared" si="0"/>
        <v>1277.5</v>
      </c>
      <c r="F13" s="37">
        <v>0</v>
      </c>
      <c r="H13" s="37"/>
      <c r="I13" s="65"/>
      <c r="J13" s="37"/>
      <c r="K13" s="37"/>
    </row>
    <row r="14" spans="1:13">
      <c r="C14" s="37">
        <v>11.5</v>
      </c>
      <c r="D14" s="69">
        <v>0.55000000000000004</v>
      </c>
      <c r="E14" s="69">
        <f t="shared" si="0"/>
        <v>2007.5000000000002</v>
      </c>
      <c r="F14" s="37">
        <v>0</v>
      </c>
      <c r="H14" s="37"/>
      <c r="I14" s="38"/>
      <c r="J14" s="37"/>
      <c r="K14" s="37"/>
      <c r="L14" s="37"/>
      <c r="M14" s="37"/>
    </row>
    <row r="15" spans="1:13">
      <c r="C15" s="37">
        <v>12.000000000000099</v>
      </c>
      <c r="D15" s="70">
        <v>0.95</v>
      </c>
      <c r="E15" s="70">
        <f t="shared" si="0"/>
        <v>3467.5</v>
      </c>
      <c r="F15" s="37">
        <v>0</v>
      </c>
      <c r="H15" s="37"/>
      <c r="I15" s="38"/>
      <c r="J15" s="37"/>
      <c r="K15" s="37"/>
      <c r="L15" s="37"/>
      <c r="M15" s="37"/>
    </row>
    <row r="16" spans="1:13">
      <c r="C16" s="37">
        <v>12.500000000000099</v>
      </c>
      <c r="D16" s="69">
        <v>0.55000000000000004</v>
      </c>
      <c r="E16" s="69">
        <f t="shared" si="0"/>
        <v>2007.5000000000002</v>
      </c>
      <c r="F16" s="66">
        <v>0</v>
      </c>
      <c r="H16" s="37"/>
      <c r="I16" s="38"/>
      <c r="J16" s="37"/>
      <c r="K16" s="37"/>
      <c r="L16" s="37"/>
      <c r="M16" s="37"/>
    </row>
    <row r="17" spans="3:14">
      <c r="C17" s="37">
        <v>13.000000000000099</v>
      </c>
      <c r="D17" s="69">
        <v>0.55000000000000004</v>
      </c>
      <c r="E17" s="69">
        <f t="shared" si="0"/>
        <v>2007.5000000000002</v>
      </c>
      <c r="F17" s="66">
        <v>0</v>
      </c>
      <c r="H17" s="37"/>
      <c r="I17" s="38"/>
      <c r="J17" s="37"/>
      <c r="K17" s="37"/>
      <c r="L17" s="37"/>
      <c r="M17" s="37"/>
    </row>
    <row r="18" spans="3:14">
      <c r="C18" s="37">
        <v>13.500000000000099</v>
      </c>
      <c r="D18" s="69">
        <v>0.35</v>
      </c>
      <c r="E18" s="69">
        <f t="shared" si="0"/>
        <v>1277.5</v>
      </c>
      <c r="F18" s="66">
        <v>0</v>
      </c>
      <c r="H18" s="37"/>
      <c r="I18" s="38"/>
      <c r="J18" s="37"/>
      <c r="K18" s="37"/>
      <c r="L18" s="37"/>
      <c r="M18" s="37"/>
    </row>
    <row r="19" spans="3:14">
      <c r="C19" s="37">
        <v>14.000000000000099</v>
      </c>
      <c r="D19" s="51">
        <v>0.25</v>
      </c>
      <c r="E19" s="51">
        <f t="shared" si="0"/>
        <v>912.5</v>
      </c>
      <c r="F19" s="37">
        <f>E19*$B$7</f>
        <v>456.25</v>
      </c>
      <c r="H19" s="37"/>
      <c r="I19" s="38"/>
      <c r="J19" s="37"/>
      <c r="K19" s="37"/>
      <c r="L19" s="37"/>
      <c r="M19" s="37"/>
    </row>
    <row r="20" spans="3:14">
      <c r="C20" s="37">
        <v>14.500000000000099</v>
      </c>
      <c r="D20" s="51">
        <v>0.25</v>
      </c>
      <c r="E20" s="51">
        <f t="shared" si="0"/>
        <v>912.5</v>
      </c>
      <c r="F20" s="37">
        <f>E20*$B$7</f>
        <v>456.25</v>
      </c>
      <c r="H20" s="37"/>
      <c r="I20" s="65"/>
      <c r="J20" s="37"/>
      <c r="K20" s="37"/>
    </row>
    <row r="21" spans="3:14">
      <c r="C21" s="37">
        <v>15.000000000000099</v>
      </c>
      <c r="D21" s="39">
        <v>0.15</v>
      </c>
      <c r="E21" s="39">
        <f t="shared" si="0"/>
        <v>547.5</v>
      </c>
      <c r="F21" s="37">
        <f t="shared" ref="F21:F27" si="2">E21*$B$7</f>
        <v>273.75</v>
      </c>
      <c r="G21">
        <f>(E21*1000)/780</f>
        <v>701.92307692307691</v>
      </c>
      <c r="H21" s="37">
        <f>G21-G11</f>
        <v>-467.94871794871801</v>
      </c>
      <c r="I21" s="65"/>
      <c r="J21" s="37"/>
      <c r="K21" s="37"/>
    </row>
    <row r="22" spans="3:14">
      <c r="C22" s="37">
        <v>15.500000000000099</v>
      </c>
      <c r="D22" s="39">
        <v>0.15</v>
      </c>
      <c r="E22" s="39">
        <f t="shared" si="0"/>
        <v>547.5</v>
      </c>
      <c r="F22" s="37">
        <f t="shared" si="2"/>
        <v>273.75</v>
      </c>
      <c r="H22" s="37"/>
      <c r="I22" s="65"/>
      <c r="J22" s="37"/>
      <c r="K22" s="37"/>
    </row>
    <row r="23" spans="3:14">
      <c r="C23" s="37">
        <v>16.000000000000099</v>
      </c>
      <c r="D23" s="39">
        <v>0.1</v>
      </c>
      <c r="E23" s="39">
        <f t="shared" si="0"/>
        <v>365</v>
      </c>
      <c r="F23" s="37">
        <f t="shared" si="2"/>
        <v>182.5</v>
      </c>
      <c r="G23">
        <f>(E23*1000)/780</f>
        <v>467.94871794871796</v>
      </c>
      <c r="H23" s="37">
        <f>G23-G21</f>
        <v>-233.97435897435895</v>
      </c>
      <c r="I23" s="65"/>
      <c r="J23" s="37"/>
      <c r="K23" s="37"/>
    </row>
    <row r="24" spans="3:14">
      <c r="C24" s="37">
        <v>16.500000000000099</v>
      </c>
      <c r="D24" s="39">
        <v>0.1</v>
      </c>
      <c r="E24" s="39">
        <f t="shared" si="0"/>
        <v>365</v>
      </c>
      <c r="F24" s="37">
        <f t="shared" si="2"/>
        <v>182.5</v>
      </c>
      <c r="H24" s="37"/>
      <c r="I24" s="65"/>
      <c r="J24" s="37"/>
      <c r="K24" s="37"/>
    </row>
    <row r="25" spans="3:14">
      <c r="C25" s="37">
        <v>17.000000000000099</v>
      </c>
      <c r="D25" s="39">
        <v>0.05</v>
      </c>
      <c r="E25" s="39">
        <f t="shared" si="0"/>
        <v>182.5</v>
      </c>
      <c r="F25" s="37">
        <f t="shared" si="2"/>
        <v>91.25</v>
      </c>
      <c r="G25">
        <f>(E25*1000)/780</f>
        <v>233.97435897435898</v>
      </c>
      <c r="H25" s="37">
        <f>G25-G23</f>
        <v>-233.97435897435898</v>
      </c>
      <c r="I25" s="65"/>
      <c r="J25" s="37"/>
      <c r="K25" s="37"/>
    </row>
    <row r="26" spans="3:14">
      <c r="C26" s="37">
        <v>17.500000000000099</v>
      </c>
      <c r="D26" s="39">
        <v>0.05</v>
      </c>
      <c r="E26" s="39">
        <f t="shared" si="0"/>
        <v>182.5</v>
      </c>
      <c r="F26" s="37">
        <f t="shared" si="2"/>
        <v>91.25</v>
      </c>
      <c r="H26" s="37"/>
      <c r="I26" s="65"/>
      <c r="J26" s="37"/>
      <c r="K26" s="37"/>
    </row>
    <row r="27" spans="3:14">
      <c r="C27" s="37">
        <v>18.000000000000099</v>
      </c>
      <c r="D27" s="38">
        <v>0</v>
      </c>
      <c r="E27" s="38">
        <f t="shared" si="0"/>
        <v>0</v>
      </c>
      <c r="F27" s="37">
        <f t="shared" si="2"/>
        <v>0</v>
      </c>
      <c r="H27" s="37"/>
      <c r="I27" s="65"/>
      <c r="J27" s="37"/>
      <c r="K27" s="37"/>
    </row>
    <row r="28" spans="3:14">
      <c r="C28" s="52" t="s">
        <v>119</v>
      </c>
      <c r="F28" s="46">
        <f>SUM(F7:F27)</f>
        <v>3102.5</v>
      </c>
      <c r="H28" s="37"/>
      <c r="I28" s="38"/>
      <c r="J28" s="37"/>
      <c r="K28" s="37"/>
    </row>
    <row r="29" spans="3:14">
      <c r="K29" s="42"/>
    </row>
    <row r="32" spans="3:14">
      <c r="L32" s="54"/>
      <c r="M32" s="54"/>
      <c r="N32" s="54"/>
    </row>
    <row r="33" spans="3:14">
      <c r="H33" s="54"/>
      <c r="I33" s="54"/>
      <c r="J33" s="54"/>
      <c r="L33" s="55"/>
      <c r="M33" s="55"/>
      <c r="N33" s="55"/>
    </row>
    <row r="34" spans="3:14">
      <c r="H34" s="55"/>
      <c r="I34" s="55"/>
      <c r="J34" s="55"/>
      <c r="L34" s="61"/>
      <c r="M34" s="62"/>
      <c r="N34" s="58"/>
    </row>
    <row r="35" spans="3:14">
      <c r="H35" s="56"/>
      <c r="I35" s="57"/>
      <c r="J35" s="56"/>
      <c r="L35" s="56"/>
      <c r="M35" s="57"/>
      <c r="N35" s="56"/>
    </row>
    <row r="36" spans="3:14">
      <c r="H36" s="56"/>
      <c r="I36" s="57"/>
      <c r="J36" s="56"/>
      <c r="L36" s="56"/>
      <c r="M36" s="57"/>
      <c r="N36" s="56"/>
    </row>
    <row r="37" spans="3:14" ht="18.75">
      <c r="C37" s="64"/>
      <c r="D37" s="64"/>
      <c r="E37" s="64"/>
      <c r="F37" s="64"/>
      <c r="H37" s="56"/>
      <c r="I37" s="57"/>
      <c r="J37" s="56"/>
      <c r="L37" s="56"/>
      <c r="M37" s="57"/>
      <c r="N37" s="56"/>
    </row>
    <row r="38" spans="3:14">
      <c r="C38" s="37"/>
      <c r="D38" s="38"/>
      <c r="E38" s="38"/>
      <c r="F38" s="37"/>
      <c r="H38" s="58"/>
      <c r="I38" s="57"/>
      <c r="J38" s="56"/>
      <c r="L38" s="58"/>
      <c r="M38" s="57"/>
      <c r="N38" s="56"/>
    </row>
    <row r="39" spans="3:14">
      <c r="C39" s="37"/>
      <c r="D39" s="38"/>
      <c r="E39" s="38"/>
      <c r="F39" s="37"/>
      <c r="H39" s="58"/>
      <c r="I39" s="58"/>
      <c r="J39" s="58"/>
      <c r="L39" s="58"/>
      <c r="M39" s="58"/>
      <c r="N39" s="58"/>
    </row>
    <row r="40" spans="3:14">
      <c r="C40" s="37"/>
      <c r="D40" s="40"/>
      <c r="E40" s="40"/>
      <c r="F40" s="37"/>
      <c r="H40" s="55"/>
      <c r="I40" s="55"/>
      <c r="J40" s="55"/>
      <c r="L40" s="55"/>
      <c r="M40" s="55"/>
      <c r="N40" s="55"/>
    </row>
    <row r="41" spans="3:14">
      <c r="C41" s="37"/>
      <c r="D41" s="65"/>
      <c r="E41" s="65"/>
      <c r="F41" s="37"/>
      <c r="H41" s="56"/>
      <c r="I41" s="59"/>
      <c r="J41" s="59"/>
      <c r="L41" s="61"/>
      <c r="M41" s="63"/>
      <c r="N41" s="63"/>
    </row>
    <row r="42" spans="3:14">
      <c r="C42" s="37"/>
      <c r="D42" s="65"/>
      <c r="E42" s="65"/>
      <c r="F42" s="37"/>
      <c r="H42" s="56"/>
      <c r="I42" s="59"/>
      <c r="J42" s="59"/>
      <c r="L42" s="56"/>
      <c r="M42" s="59"/>
      <c r="N42" s="59"/>
    </row>
    <row r="43" spans="3:14">
      <c r="C43" s="37"/>
      <c r="D43" s="40"/>
      <c r="E43" s="40"/>
      <c r="F43" s="37"/>
      <c r="H43" s="56"/>
      <c r="I43" s="59"/>
      <c r="J43" s="59"/>
      <c r="L43" s="56"/>
      <c r="M43" s="59"/>
      <c r="N43" s="59"/>
    </row>
    <row r="44" spans="3:14">
      <c r="C44" s="37"/>
      <c r="D44" s="40"/>
      <c r="E44" s="40"/>
      <c r="F44" s="37"/>
      <c r="H44" s="58"/>
      <c r="I44" s="60"/>
      <c r="J44" s="60"/>
      <c r="L44" s="56"/>
      <c r="M44" s="59"/>
      <c r="N44" s="59"/>
    </row>
    <row r="45" spans="3:14">
      <c r="C45" s="37"/>
      <c r="D45" s="38"/>
      <c r="E45" s="38"/>
      <c r="F45" s="37"/>
      <c r="L45" s="58"/>
      <c r="M45" s="60"/>
      <c r="N45" s="59"/>
    </row>
    <row r="46" spans="3:14">
      <c r="C46" s="37"/>
      <c r="D46" s="38"/>
      <c r="E46" s="38"/>
      <c r="F46" s="37"/>
    </row>
    <row r="47" spans="3:14">
      <c r="C47" s="37"/>
      <c r="D47" s="38"/>
      <c r="E47" s="38"/>
      <c r="F47" s="37"/>
    </row>
    <row r="48" spans="3:14">
      <c r="C48" s="37"/>
      <c r="D48" s="38"/>
      <c r="E48" s="38"/>
      <c r="F48" s="37"/>
    </row>
    <row r="49" spans="3:6">
      <c r="C49" s="37"/>
      <c r="D49" s="38"/>
      <c r="E49" s="38"/>
      <c r="F49" s="37"/>
    </row>
    <row r="50" spans="3:6">
      <c r="C50" s="37"/>
      <c r="D50" s="38"/>
      <c r="E50" s="38"/>
      <c r="F50" s="37"/>
    </row>
    <row r="51" spans="3:6">
      <c r="C51" s="37"/>
      <c r="D51" s="40"/>
      <c r="E51" s="40"/>
      <c r="F51" s="37"/>
    </row>
    <row r="52" spans="3:6">
      <c r="C52" s="37"/>
      <c r="D52" s="40"/>
      <c r="E52" s="40"/>
      <c r="F52" s="37"/>
    </row>
    <row r="53" spans="3:6">
      <c r="C53" s="37"/>
      <c r="D53" s="65"/>
      <c r="E53" s="65"/>
      <c r="F53" s="37"/>
    </row>
    <row r="54" spans="3:6">
      <c r="C54" s="37"/>
      <c r="D54" s="65"/>
      <c r="E54" s="65"/>
      <c r="F54" s="37"/>
    </row>
    <row r="55" spans="3:6">
      <c r="C55" s="37"/>
      <c r="D55" s="65"/>
      <c r="E55" s="65"/>
      <c r="F55" s="37"/>
    </row>
    <row r="56" spans="3:6">
      <c r="C56" s="37"/>
      <c r="D56" s="65"/>
      <c r="E56" s="65"/>
      <c r="F56" s="37"/>
    </row>
    <row r="57" spans="3:6">
      <c r="C57" s="37"/>
      <c r="D57" s="65"/>
      <c r="E57" s="65"/>
      <c r="F57" s="37"/>
    </row>
    <row r="58" spans="3:6">
      <c r="C58" s="37"/>
      <c r="D58" s="65"/>
      <c r="E58" s="65"/>
      <c r="F58" s="37"/>
    </row>
    <row r="59" spans="3:6">
      <c r="C59" s="37"/>
      <c r="D59" s="38"/>
      <c r="E59" s="38"/>
      <c r="F59" s="37"/>
    </row>
  </sheetData>
  <mergeCells count="1">
    <mergeCell ref="C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4684-FB27-4A53-807A-18B0A08493D2}">
  <dimension ref="A2:U57"/>
  <sheetViews>
    <sheetView tabSelected="1" topLeftCell="A3" workbookViewId="0">
      <selection activeCell="H19" sqref="H19"/>
    </sheetView>
  </sheetViews>
  <sheetFormatPr baseColWidth="10" defaultRowHeight="15"/>
  <cols>
    <col min="1" max="1" width="15.42578125" bestFit="1" customWidth="1"/>
    <col min="6" max="6" width="16.140625" bestFit="1" customWidth="1"/>
    <col min="14" max="14" width="12.5703125" bestFit="1" customWidth="1"/>
    <col min="15" max="16" width="12" bestFit="1" customWidth="1"/>
    <col min="18" max="18" width="13.7109375" bestFit="1" customWidth="1"/>
    <col min="19" max="19" width="12.5703125" bestFit="1" customWidth="1"/>
    <col min="20" max="20" width="12" bestFit="1" customWidth="1"/>
    <col min="21" max="21" width="12.140625" bestFit="1" customWidth="1"/>
  </cols>
  <sheetData>
    <row r="2" spans="1:21" ht="18.75">
      <c r="C2" s="64"/>
      <c r="D2" s="64"/>
      <c r="E2" s="64"/>
      <c r="F2" s="64"/>
      <c r="G2" s="64"/>
      <c r="H2" s="64"/>
      <c r="I2" s="64"/>
      <c r="J2" s="64"/>
      <c r="K2" s="64"/>
      <c r="L2" s="64"/>
      <c r="R2" s="42"/>
      <c r="S2" s="42"/>
      <c r="T2" s="42"/>
      <c r="U2" s="42"/>
    </row>
    <row r="3" spans="1:21">
      <c r="A3" s="37" t="s">
        <v>108</v>
      </c>
      <c r="B3" s="37" t="s">
        <v>109</v>
      </c>
      <c r="C3" s="37" t="s">
        <v>110</v>
      </c>
      <c r="D3" s="38" t="s">
        <v>111</v>
      </c>
      <c r="E3" s="38" t="s">
        <v>113</v>
      </c>
      <c r="F3" s="66" t="s">
        <v>120</v>
      </c>
      <c r="G3" s="37"/>
      <c r="H3" s="37"/>
      <c r="I3" s="37"/>
      <c r="J3" s="37"/>
      <c r="K3" s="37"/>
      <c r="L3" s="37"/>
      <c r="N3" s="37"/>
      <c r="O3" s="37"/>
      <c r="P3" s="37"/>
      <c r="R3" s="67"/>
      <c r="S3" s="38"/>
      <c r="T3" s="67"/>
      <c r="U3" s="67"/>
    </row>
    <row r="4" spans="1:21">
      <c r="A4" s="37">
        <v>3650</v>
      </c>
      <c r="B4" s="37">
        <v>0.5</v>
      </c>
      <c r="C4" s="37">
        <v>8</v>
      </c>
      <c r="D4" s="51">
        <v>0</v>
      </c>
      <c r="E4" s="51">
        <f t="shared" ref="E4:E24" si="0">2*1825*D4</f>
        <v>0</v>
      </c>
      <c r="F4" s="37">
        <f>$B$4*E4</f>
        <v>0</v>
      </c>
      <c r="G4" s="37"/>
      <c r="H4" s="37"/>
      <c r="I4" s="37"/>
      <c r="J4" s="37"/>
      <c r="K4" s="37"/>
      <c r="L4" s="37"/>
      <c r="N4" s="37"/>
      <c r="O4" s="37"/>
      <c r="P4" s="37"/>
      <c r="R4" s="37"/>
      <c r="S4" s="38"/>
      <c r="T4" s="37"/>
      <c r="U4" s="37"/>
    </row>
    <row r="5" spans="1:21">
      <c r="C5" s="37">
        <v>8.5</v>
      </c>
      <c r="D5" s="39">
        <v>0.1</v>
      </c>
      <c r="E5" s="39">
        <f t="shared" si="0"/>
        <v>365</v>
      </c>
      <c r="F5" s="37">
        <f t="shared" ref="F5:F24" si="1">$B$4*E5</f>
        <v>182.5</v>
      </c>
      <c r="G5" s="37">
        <f>(E5*1000)/780</f>
        <v>467.94871794871796</v>
      </c>
      <c r="H5" s="37"/>
      <c r="I5" s="37"/>
      <c r="K5" s="37"/>
      <c r="L5" s="37"/>
      <c r="N5" s="37"/>
      <c r="O5" s="37"/>
      <c r="P5" s="37"/>
      <c r="R5" s="37"/>
      <c r="S5" s="65"/>
      <c r="T5" s="37"/>
      <c r="U5" s="37"/>
    </row>
    <row r="6" spans="1:21">
      <c r="C6" s="37">
        <v>9</v>
      </c>
      <c r="D6" s="51">
        <v>0.25</v>
      </c>
      <c r="E6" s="51">
        <f t="shared" si="0"/>
        <v>912.5</v>
      </c>
      <c r="F6" s="37">
        <f>$B$4*E6</f>
        <v>456.25</v>
      </c>
      <c r="G6" s="37">
        <f>(E6*1000)/780</f>
        <v>1169.8717948717949</v>
      </c>
      <c r="H6" s="37">
        <f>G6-G5</f>
        <v>701.92307692307691</v>
      </c>
      <c r="I6" s="37"/>
      <c r="K6" s="37"/>
      <c r="L6" s="37"/>
      <c r="N6" s="37"/>
      <c r="O6" s="37"/>
      <c r="P6" s="37"/>
      <c r="R6" s="37"/>
      <c r="S6" s="40"/>
      <c r="T6" s="37"/>
      <c r="U6" s="37"/>
    </row>
    <row r="7" spans="1:21">
      <c r="C7" s="37">
        <v>9.5</v>
      </c>
      <c r="D7" s="69">
        <v>0.4</v>
      </c>
      <c r="E7" s="69">
        <f t="shared" si="0"/>
        <v>1460</v>
      </c>
      <c r="F7" s="37">
        <v>0</v>
      </c>
      <c r="G7" s="37"/>
      <c r="H7" s="37"/>
      <c r="I7" s="37"/>
      <c r="K7" s="37"/>
      <c r="L7" s="37"/>
      <c r="N7" s="37"/>
      <c r="O7" s="37"/>
      <c r="P7" s="37"/>
      <c r="R7" s="37"/>
      <c r="S7" s="38"/>
      <c r="T7" s="37"/>
      <c r="U7" s="37"/>
    </row>
    <row r="8" spans="1:21">
      <c r="C8" s="37">
        <v>10</v>
      </c>
      <c r="D8" s="70">
        <v>0.95</v>
      </c>
      <c r="E8" s="70">
        <f t="shared" si="0"/>
        <v>3467.5</v>
      </c>
      <c r="F8" s="37">
        <v>0</v>
      </c>
      <c r="G8" s="37"/>
      <c r="H8" s="37"/>
      <c r="I8" s="37"/>
      <c r="K8" s="37"/>
      <c r="L8" s="37"/>
      <c r="N8" s="37"/>
      <c r="O8" s="37"/>
      <c r="P8" s="37"/>
      <c r="R8" s="37"/>
      <c r="S8" s="38"/>
      <c r="T8" s="37"/>
      <c r="U8" s="37"/>
    </row>
    <row r="9" spans="1:21">
      <c r="C9" s="37">
        <v>10.5</v>
      </c>
      <c r="D9" s="70">
        <v>0.75</v>
      </c>
      <c r="E9" s="70">
        <f t="shared" si="0"/>
        <v>2737.5</v>
      </c>
      <c r="F9" s="37">
        <v>0</v>
      </c>
      <c r="G9" s="37"/>
      <c r="H9" s="37"/>
      <c r="I9" s="37"/>
      <c r="K9" s="37"/>
      <c r="L9" s="37"/>
      <c r="N9" s="37"/>
      <c r="O9" s="37"/>
      <c r="P9" s="37"/>
      <c r="R9" s="37"/>
      <c r="S9" s="38"/>
      <c r="T9" s="37"/>
      <c r="U9" s="37"/>
    </row>
    <row r="10" spans="1:21">
      <c r="C10" s="41">
        <v>11</v>
      </c>
      <c r="D10" s="69">
        <v>0.35</v>
      </c>
      <c r="E10" s="69">
        <f t="shared" si="0"/>
        <v>1277.5</v>
      </c>
      <c r="F10" s="37">
        <v>0</v>
      </c>
      <c r="G10" s="37"/>
      <c r="H10" s="37"/>
      <c r="I10" s="37"/>
      <c r="K10" s="37"/>
      <c r="L10" s="37"/>
      <c r="N10" s="37"/>
      <c r="O10" s="37"/>
      <c r="P10" s="37"/>
      <c r="R10" s="37"/>
      <c r="S10" s="38"/>
      <c r="T10" s="37"/>
      <c r="U10" s="37"/>
    </row>
    <row r="11" spans="1:21">
      <c r="C11" s="44">
        <v>11.5</v>
      </c>
      <c r="D11" s="39">
        <v>0.15</v>
      </c>
      <c r="E11" s="39">
        <f t="shared" si="0"/>
        <v>547.5</v>
      </c>
      <c r="F11" s="37">
        <f t="shared" si="1"/>
        <v>273.75</v>
      </c>
      <c r="G11" s="37">
        <f>(E11*1000)/780</f>
        <v>701.92307692307691</v>
      </c>
      <c r="H11" s="37">
        <f>G11-G6</f>
        <v>-467.94871794871801</v>
      </c>
      <c r="I11" s="37"/>
      <c r="K11" s="37"/>
      <c r="L11" s="37"/>
      <c r="N11" s="37"/>
      <c r="O11" s="37"/>
      <c r="P11" s="37"/>
      <c r="R11" s="37"/>
      <c r="S11" s="65"/>
      <c r="T11" s="37"/>
      <c r="U11" s="37"/>
    </row>
    <row r="12" spans="1:21">
      <c r="C12" s="41">
        <v>12</v>
      </c>
      <c r="D12" s="39">
        <v>0.05</v>
      </c>
      <c r="E12" s="39">
        <f t="shared" si="0"/>
        <v>182.5</v>
      </c>
      <c r="F12" s="37">
        <f t="shared" si="1"/>
        <v>91.25</v>
      </c>
      <c r="G12" s="37">
        <f>(E12*1000)/780</f>
        <v>233.97435897435898</v>
      </c>
      <c r="H12" s="37">
        <f>G12-G11</f>
        <v>-467.9487179487179</v>
      </c>
      <c r="I12" s="37"/>
      <c r="K12" s="37"/>
      <c r="L12" s="37"/>
      <c r="N12" s="37"/>
      <c r="O12" s="37"/>
      <c r="P12" s="37"/>
      <c r="R12" s="37"/>
      <c r="S12" s="65"/>
      <c r="T12" s="37"/>
      <c r="U12" s="37"/>
    </row>
    <row r="13" spans="1:21">
      <c r="C13" s="44">
        <v>12.5</v>
      </c>
      <c r="D13" s="68">
        <v>0</v>
      </c>
      <c r="E13" s="68">
        <f t="shared" si="0"/>
        <v>0</v>
      </c>
      <c r="F13" s="37">
        <f t="shared" si="1"/>
        <v>0</v>
      </c>
      <c r="G13" s="37"/>
      <c r="H13" s="37"/>
      <c r="I13" s="37"/>
      <c r="K13" s="37"/>
      <c r="L13" s="37"/>
      <c r="N13" s="37"/>
      <c r="O13" s="37"/>
      <c r="P13" s="37"/>
      <c r="R13" s="37"/>
      <c r="S13" s="38"/>
      <c r="T13" s="37"/>
      <c r="U13" s="37"/>
    </row>
    <row r="14" spans="1:21">
      <c r="C14" s="41">
        <v>13</v>
      </c>
      <c r="D14" s="68">
        <v>0</v>
      </c>
      <c r="E14" s="68">
        <f t="shared" si="0"/>
        <v>0</v>
      </c>
      <c r="F14" s="37">
        <f t="shared" si="1"/>
        <v>0</v>
      </c>
      <c r="G14" s="37"/>
      <c r="H14" s="37"/>
      <c r="I14" s="37"/>
      <c r="K14" s="37"/>
      <c r="L14" s="37"/>
      <c r="N14" s="37"/>
      <c r="O14" s="37"/>
      <c r="P14" s="37"/>
      <c r="R14" s="37"/>
      <c r="S14" s="38"/>
      <c r="T14" s="37"/>
      <c r="U14" s="37"/>
    </row>
    <row r="15" spans="1:21">
      <c r="C15" s="44">
        <v>13.5</v>
      </c>
      <c r="D15" s="68">
        <v>0</v>
      </c>
      <c r="E15" s="68">
        <f t="shared" si="0"/>
        <v>0</v>
      </c>
      <c r="F15" s="37">
        <f t="shared" si="1"/>
        <v>0</v>
      </c>
      <c r="G15" s="37"/>
      <c r="H15" s="37"/>
      <c r="I15" s="37"/>
      <c r="K15" s="37"/>
      <c r="L15" s="37"/>
      <c r="N15" s="37"/>
      <c r="O15" s="37"/>
      <c r="P15" s="37"/>
      <c r="R15" s="37"/>
      <c r="S15" s="38"/>
      <c r="T15" s="37"/>
      <c r="U15" s="37"/>
    </row>
    <row r="16" spans="1:21">
      <c r="C16" s="41">
        <v>13.995357142857101</v>
      </c>
      <c r="D16" s="39">
        <v>0.05</v>
      </c>
      <c r="E16" s="39">
        <f t="shared" si="0"/>
        <v>182.5</v>
      </c>
      <c r="F16" s="37">
        <f t="shared" si="1"/>
        <v>91.25</v>
      </c>
      <c r="G16" s="37"/>
      <c r="H16" s="37"/>
      <c r="I16" s="37"/>
      <c r="K16" s="37"/>
      <c r="L16" s="37"/>
      <c r="O16" s="42"/>
      <c r="P16" s="42"/>
      <c r="R16" s="37"/>
      <c r="S16" s="65"/>
      <c r="T16" s="37"/>
      <c r="U16" s="37"/>
    </row>
    <row r="17" spans="3:21">
      <c r="C17" s="44">
        <v>14.5</v>
      </c>
      <c r="D17" s="39">
        <v>0.15</v>
      </c>
      <c r="E17" s="39">
        <f t="shared" si="0"/>
        <v>547.5</v>
      </c>
      <c r="F17" s="37">
        <f t="shared" si="1"/>
        <v>273.75</v>
      </c>
      <c r="G17" s="37">
        <f>(E17*1000)/780</f>
        <v>701.92307692307691</v>
      </c>
      <c r="H17" s="37">
        <f>G17-G12</f>
        <v>467.9487179487179</v>
      </c>
      <c r="I17" s="37"/>
      <c r="K17" s="37"/>
      <c r="L17" s="37"/>
      <c r="R17" s="37"/>
      <c r="S17" s="65"/>
      <c r="T17" s="37"/>
      <c r="U17" s="37"/>
    </row>
    <row r="18" spans="3:21">
      <c r="C18" s="41">
        <v>14.994999999999999</v>
      </c>
      <c r="D18" s="51">
        <v>0.25</v>
      </c>
      <c r="E18" s="51">
        <f t="shared" si="0"/>
        <v>912.5</v>
      </c>
      <c r="F18" s="37">
        <f>$B$4*E18</f>
        <v>456.25</v>
      </c>
      <c r="G18" s="37">
        <f>(E18*1000)/780</f>
        <v>1169.8717948717949</v>
      </c>
      <c r="H18" s="37">
        <f>G18-G17</f>
        <v>467.94871794871801</v>
      </c>
      <c r="I18" s="37"/>
      <c r="K18" s="37"/>
      <c r="L18" s="37"/>
      <c r="N18" s="37"/>
      <c r="O18" s="37"/>
      <c r="P18" s="37"/>
      <c r="R18" s="37"/>
      <c r="S18" s="40"/>
      <c r="T18" s="37"/>
      <c r="U18" s="37"/>
    </row>
    <row r="19" spans="3:21">
      <c r="C19" s="44">
        <v>15.5</v>
      </c>
      <c r="D19" s="69">
        <v>0.35</v>
      </c>
      <c r="E19" s="69">
        <f t="shared" si="0"/>
        <v>1277.5</v>
      </c>
      <c r="F19" s="37">
        <v>0</v>
      </c>
      <c r="G19" s="37"/>
      <c r="H19" s="37"/>
      <c r="I19" s="37"/>
      <c r="K19" s="37"/>
      <c r="L19" s="37"/>
      <c r="N19" s="37"/>
      <c r="O19" s="37"/>
      <c r="P19" s="37"/>
      <c r="R19" s="37"/>
      <c r="S19" s="38"/>
      <c r="T19" s="37"/>
      <c r="U19" s="37"/>
    </row>
    <row r="20" spans="3:21">
      <c r="C20" s="41">
        <v>15.9946428571428</v>
      </c>
      <c r="D20" s="71">
        <v>0.95</v>
      </c>
      <c r="E20" s="71">
        <f t="shared" si="0"/>
        <v>3467.5</v>
      </c>
      <c r="F20" s="37">
        <v>0</v>
      </c>
      <c r="G20" s="37"/>
      <c r="H20" s="37"/>
      <c r="I20" s="37"/>
      <c r="K20" s="37"/>
      <c r="L20" s="37"/>
      <c r="N20" s="37"/>
      <c r="O20" s="37"/>
      <c r="P20" s="37"/>
      <c r="R20" s="37"/>
      <c r="S20" s="38"/>
      <c r="T20" s="37"/>
      <c r="U20" s="37"/>
    </row>
    <row r="21" spans="3:21">
      <c r="C21" s="44">
        <v>16.5</v>
      </c>
      <c r="D21" s="71">
        <v>0.7</v>
      </c>
      <c r="E21" s="71">
        <f t="shared" si="0"/>
        <v>2555</v>
      </c>
      <c r="F21" s="37">
        <v>0</v>
      </c>
      <c r="G21" s="37"/>
      <c r="H21" s="37"/>
      <c r="I21" s="37"/>
      <c r="K21" s="37"/>
      <c r="L21" s="37"/>
      <c r="N21" s="37"/>
      <c r="O21" s="37"/>
      <c r="P21" s="37"/>
      <c r="R21" s="37"/>
      <c r="S21" s="38"/>
      <c r="T21" s="37"/>
      <c r="U21" s="37"/>
    </row>
    <row r="22" spans="3:21">
      <c r="C22" s="41">
        <v>16.994285714285699</v>
      </c>
      <c r="D22" s="69">
        <v>0.45</v>
      </c>
      <c r="E22" s="69">
        <f t="shared" si="0"/>
        <v>1642.5</v>
      </c>
      <c r="F22" s="37">
        <v>0</v>
      </c>
      <c r="G22" s="37"/>
      <c r="H22" s="37"/>
      <c r="I22" s="37"/>
      <c r="K22" s="37"/>
      <c r="L22" s="37"/>
      <c r="O22" s="42"/>
      <c r="P22" s="42"/>
      <c r="R22" s="37"/>
      <c r="S22" s="38"/>
      <c r="T22" s="37"/>
      <c r="U22" s="37"/>
    </row>
    <row r="23" spans="3:21">
      <c r="C23" s="44">
        <v>17.5</v>
      </c>
      <c r="D23" s="72">
        <v>0.3</v>
      </c>
      <c r="E23" s="72">
        <f t="shared" si="0"/>
        <v>1095</v>
      </c>
      <c r="F23" s="37">
        <v>0</v>
      </c>
      <c r="G23" s="37"/>
      <c r="H23" s="37"/>
      <c r="I23" s="37"/>
      <c r="K23" s="37"/>
      <c r="L23" s="37"/>
      <c r="R23" s="37"/>
      <c r="S23" s="40"/>
      <c r="T23" s="37"/>
      <c r="U23" s="37"/>
    </row>
    <row r="24" spans="3:21">
      <c r="C24" s="41">
        <v>17.993928571428601</v>
      </c>
      <c r="D24" s="68">
        <v>0</v>
      </c>
      <c r="E24" s="68">
        <f t="shared" si="0"/>
        <v>0</v>
      </c>
      <c r="F24" s="37">
        <f t="shared" si="1"/>
        <v>0</v>
      </c>
      <c r="G24" s="37"/>
      <c r="H24" s="37"/>
      <c r="I24" s="42"/>
      <c r="J24" s="37"/>
      <c r="K24" s="37"/>
      <c r="L24" s="37"/>
      <c r="N24" s="37"/>
      <c r="O24" s="37"/>
      <c r="P24" s="37"/>
      <c r="R24" s="37"/>
      <c r="S24" s="38"/>
      <c r="T24" s="37"/>
      <c r="U24" s="37"/>
    </row>
    <row r="25" spans="3:21">
      <c r="C25" s="46" t="s">
        <v>119</v>
      </c>
      <c r="F25" s="46">
        <f>SUM(F4:F24)</f>
        <v>1825</v>
      </c>
      <c r="H25" s="42"/>
      <c r="L25" s="42"/>
      <c r="N25" s="37"/>
      <c r="O25" s="45"/>
      <c r="P25" s="45"/>
      <c r="U25" s="46"/>
    </row>
    <row r="26" spans="3:21">
      <c r="N26" s="37"/>
      <c r="O26" s="45"/>
      <c r="P26" s="45"/>
    </row>
    <row r="27" spans="3:21">
      <c r="N27" s="37"/>
      <c r="O27" s="45"/>
      <c r="P27" s="45"/>
    </row>
    <row r="28" spans="3:21">
      <c r="O28" s="47"/>
      <c r="P28" s="47"/>
    </row>
    <row r="30" spans="3:21">
      <c r="N30" s="37"/>
      <c r="O30" s="37"/>
      <c r="P30" s="37"/>
    </row>
    <row r="31" spans="3:21">
      <c r="N31" s="37"/>
      <c r="O31" s="41"/>
      <c r="P31" s="43"/>
    </row>
    <row r="32" spans="3:21">
      <c r="N32" s="37"/>
      <c r="O32" s="41"/>
      <c r="P32" s="43"/>
    </row>
    <row r="33" spans="3:20">
      <c r="N33" s="37"/>
      <c r="O33" s="41"/>
      <c r="P33" s="43"/>
    </row>
    <row r="34" spans="3:20" ht="18.75">
      <c r="C34" s="64"/>
      <c r="D34" s="64"/>
      <c r="E34" s="64"/>
      <c r="F34" s="64"/>
      <c r="G34" s="64"/>
      <c r="H34" s="64"/>
      <c r="I34" s="64"/>
      <c r="J34" s="64"/>
      <c r="K34" s="64"/>
      <c r="L34" s="64"/>
      <c r="O34" s="48"/>
      <c r="P34" s="49"/>
    </row>
    <row r="35" spans="3:20">
      <c r="C35" s="37"/>
      <c r="D35" s="38"/>
      <c r="E35" s="38"/>
      <c r="F35" s="37"/>
      <c r="G35" s="37"/>
      <c r="H35" s="37"/>
      <c r="I35" s="37"/>
      <c r="J35" s="37"/>
      <c r="K35" s="37"/>
      <c r="L35" s="37"/>
      <c r="N35" s="54"/>
      <c r="O35" s="54"/>
      <c r="P35" s="54"/>
      <c r="Q35" s="58"/>
      <c r="R35" s="54"/>
      <c r="S35" s="54"/>
      <c r="T35" s="54"/>
    </row>
    <row r="36" spans="3:20">
      <c r="C36" s="37"/>
      <c r="D36" s="40"/>
      <c r="E36" s="40"/>
      <c r="F36" s="37"/>
      <c r="G36" s="37"/>
      <c r="H36" s="37"/>
      <c r="I36" s="37"/>
      <c r="J36" s="37"/>
      <c r="K36" s="37"/>
      <c r="L36" s="37"/>
      <c r="N36" s="55"/>
      <c r="O36" s="55"/>
      <c r="P36" s="55"/>
      <c r="Q36" s="58"/>
      <c r="R36" s="55"/>
      <c r="S36" s="55"/>
      <c r="T36" s="55"/>
    </row>
    <row r="37" spans="3:20">
      <c r="C37" s="37"/>
      <c r="D37" s="65"/>
      <c r="E37" s="65"/>
      <c r="F37" s="37"/>
      <c r="G37" s="37"/>
      <c r="H37" s="37"/>
      <c r="I37" s="37"/>
      <c r="K37" s="37"/>
      <c r="L37" s="37"/>
      <c r="N37" s="56"/>
      <c r="O37" s="57"/>
      <c r="P37" s="56"/>
      <c r="Q37" s="58"/>
      <c r="R37" s="61"/>
      <c r="S37" s="62"/>
      <c r="T37" s="58"/>
    </row>
    <row r="38" spans="3:20">
      <c r="C38" s="37"/>
      <c r="D38" s="40"/>
      <c r="E38" s="40"/>
      <c r="F38" s="37"/>
      <c r="G38" s="37"/>
      <c r="H38" s="37"/>
      <c r="I38" s="37"/>
      <c r="K38" s="37"/>
      <c r="L38" s="37"/>
      <c r="N38" s="56"/>
      <c r="O38" s="57"/>
      <c r="P38" s="56"/>
      <c r="Q38" s="58"/>
      <c r="R38" s="56"/>
      <c r="S38" s="57"/>
      <c r="T38" s="56"/>
    </row>
    <row r="39" spans="3:20">
      <c r="C39" s="37"/>
      <c r="D39" s="38"/>
      <c r="E39" s="38"/>
      <c r="F39" s="37"/>
      <c r="G39" s="37"/>
      <c r="H39" s="37"/>
      <c r="I39" s="37"/>
      <c r="K39" s="37"/>
      <c r="L39" s="37"/>
      <c r="N39" s="56"/>
      <c r="O39" s="57"/>
      <c r="P39" s="56"/>
      <c r="Q39" s="58"/>
      <c r="R39" s="56"/>
      <c r="S39" s="57"/>
      <c r="T39" s="56"/>
    </row>
    <row r="40" spans="3:20">
      <c r="C40" s="37"/>
      <c r="D40" s="38"/>
      <c r="E40" s="38"/>
      <c r="F40" s="37"/>
      <c r="G40" s="37"/>
      <c r="H40" s="37"/>
      <c r="I40" s="37"/>
      <c r="K40" s="37"/>
      <c r="L40" s="37"/>
      <c r="N40" s="58"/>
      <c r="O40" s="57"/>
      <c r="P40" s="56"/>
      <c r="Q40" s="58"/>
      <c r="R40" s="56"/>
      <c r="S40" s="57"/>
      <c r="T40" s="56"/>
    </row>
    <row r="41" spans="3:20">
      <c r="C41" s="37"/>
      <c r="D41" s="38"/>
      <c r="E41" s="38"/>
      <c r="F41" s="37"/>
      <c r="G41" s="37"/>
      <c r="H41" s="37"/>
      <c r="I41" s="37"/>
      <c r="K41" s="37"/>
      <c r="L41" s="37"/>
      <c r="N41" s="58"/>
      <c r="O41" s="58"/>
      <c r="P41" s="58"/>
      <c r="Q41" s="58"/>
      <c r="R41" s="58"/>
      <c r="S41" s="57"/>
      <c r="T41" s="56"/>
    </row>
    <row r="42" spans="3:20">
      <c r="C42" s="41"/>
      <c r="D42" s="38"/>
      <c r="E42" s="38"/>
      <c r="F42" s="37"/>
      <c r="G42" s="37"/>
      <c r="H42" s="37"/>
      <c r="I42" s="37"/>
      <c r="K42" s="37"/>
      <c r="L42" s="37"/>
      <c r="N42" s="55"/>
      <c r="O42" s="55"/>
      <c r="P42" s="55"/>
      <c r="Q42" s="58"/>
      <c r="R42" s="58"/>
      <c r="S42" s="58"/>
      <c r="T42" s="58"/>
    </row>
    <row r="43" spans="3:20">
      <c r="C43" s="44"/>
      <c r="D43" s="65"/>
      <c r="E43" s="65"/>
      <c r="F43" s="37"/>
      <c r="G43" s="37"/>
      <c r="H43" s="37"/>
      <c r="I43" s="37"/>
      <c r="K43" s="37"/>
      <c r="L43" s="37"/>
      <c r="N43" s="56"/>
      <c r="O43" s="59"/>
      <c r="P43" s="59"/>
      <c r="Q43" s="58"/>
      <c r="R43" s="55"/>
      <c r="S43" s="55"/>
      <c r="T43" s="55"/>
    </row>
    <row r="44" spans="3:20">
      <c r="C44" s="41"/>
      <c r="D44" s="65"/>
      <c r="E44" s="65"/>
      <c r="F44" s="37"/>
      <c r="G44" s="37"/>
      <c r="H44" s="37"/>
      <c r="I44" s="37"/>
      <c r="K44" s="37"/>
      <c r="L44" s="37"/>
      <c r="N44" s="56"/>
      <c r="O44" s="59"/>
      <c r="P44" s="59"/>
      <c r="Q44" s="58"/>
      <c r="R44" s="61"/>
      <c r="S44" s="63"/>
      <c r="T44" s="63"/>
    </row>
    <row r="45" spans="3:20">
      <c r="C45" s="44"/>
      <c r="D45" s="38"/>
      <c r="E45" s="38"/>
      <c r="F45" s="37"/>
      <c r="G45" s="37"/>
      <c r="H45" s="37"/>
      <c r="I45" s="37"/>
      <c r="K45" s="37"/>
      <c r="L45" s="37"/>
      <c r="N45" s="56"/>
      <c r="O45" s="59"/>
      <c r="P45" s="59"/>
      <c r="Q45" s="58"/>
      <c r="R45" s="56"/>
      <c r="S45" s="63"/>
      <c r="T45" s="63"/>
    </row>
    <row r="46" spans="3:20">
      <c r="C46" s="41"/>
      <c r="D46" s="38"/>
      <c r="E46" s="38"/>
      <c r="F46" s="37"/>
      <c r="G46" s="37"/>
      <c r="H46" s="37"/>
      <c r="I46" s="37"/>
      <c r="K46" s="37"/>
      <c r="L46" s="37"/>
      <c r="N46" s="58"/>
      <c r="O46" s="60"/>
      <c r="P46" s="60"/>
      <c r="Q46" s="58"/>
      <c r="R46" s="56"/>
      <c r="S46" s="63"/>
      <c r="T46" s="63"/>
    </row>
    <row r="47" spans="3:20">
      <c r="C47" s="44"/>
      <c r="D47" s="38"/>
      <c r="E47" s="38"/>
      <c r="F47" s="37"/>
      <c r="G47" s="37"/>
      <c r="H47" s="37"/>
      <c r="I47" s="37"/>
      <c r="K47" s="37"/>
      <c r="L47" s="37"/>
      <c r="N47" s="58"/>
      <c r="O47" s="58"/>
      <c r="P47" s="58"/>
      <c r="Q47" s="58"/>
      <c r="R47" s="56"/>
      <c r="S47" s="63"/>
      <c r="T47" s="63"/>
    </row>
    <row r="48" spans="3:20">
      <c r="C48" s="41"/>
      <c r="D48" s="65"/>
      <c r="E48" s="65"/>
      <c r="F48" s="37"/>
      <c r="G48" s="37"/>
      <c r="H48" s="37"/>
      <c r="I48" s="37"/>
      <c r="K48" s="37"/>
      <c r="L48" s="37"/>
      <c r="N48" s="58"/>
      <c r="O48" s="58"/>
      <c r="P48" s="58"/>
      <c r="Q48" s="58"/>
      <c r="R48" s="58"/>
      <c r="S48" s="60"/>
      <c r="T48" s="59"/>
    </row>
    <row r="49" spans="3:12">
      <c r="C49" s="44"/>
      <c r="D49" s="65"/>
      <c r="E49" s="65"/>
      <c r="F49" s="37"/>
      <c r="G49" s="37"/>
      <c r="H49" s="37"/>
      <c r="I49" s="37"/>
      <c r="K49" s="37"/>
      <c r="L49" s="37"/>
    </row>
    <row r="50" spans="3:12">
      <c r="C50" s="41"/>
      <c r="D50" s="40"/>
      <c r="E50" s="40"/>
      <c r="F50" s="37"/>
      <c r="G50" s="37"/>
      <c r="H50" s="37"/>
      <c r="I50" s="37"/>
      <c r="K50" s="37"/>
      <c r="L50" s="37"/>
    </row>
    <row r="51" spans="3:12">
      <c r="C51" s="44"/>
      <c r="D51" s="38"/>
      <c r="E51" s="38"/>
      <c r="F51" s="37"/>
      <c r="G51" s="37"/>
      <c r="H51" s="37"/>
      <c r="I51" s="37"/>
      <c r="K51" s="37"/>
      <c r="L51" s="37"/>
    </row>
    <row r="52" spans="3:12">
      <c r="C52" s="41"/>
      <c r="D52" s="38"/>
      <c r="E52" s="38"/>
      <c r="F52" s="37"/>
      <c r="G52" s="37"/>
      <c r="H52" s="37"/>
      <c r="I52" s="37"/>
      <c r="K52" s="37"/>
      <c r="L52" s="37"/>
    </row>
    <row r="53" spans="3:12">
      <c r="C53" s="44"/>
      <c r="D53" s="38"/>
      <c r="E53" s="38"/>
      <c r="F53" s="37"/>
      <c r="G53" s="37"/>
      <c r="H53" s="37"/>
      <c r="I53" s="37"/>
      <c r="K53" s="37"/>
      <c r="L53" s="37"/>
    </row>
    <row r="54" spans="3:12">
      <c r="C54" s="41"/>
      <c r="D54" s="38"/>
      <c r="E54" s="38"/>
      <c r="F54" s="37"/>
      <c r="G54" s="37"/>
      <c r="H54" s="37"/>
      <c r="I54" s="37"/>
      <c r="K54" s="37"/>
      <c r="L54" s="37"/>
    </row>
    <row r="55" spans="3:12">
      <c r="C55" s="44"/>
      <c r="D55" s="40"/>
      <c r="E55" s="40"/>
      <c r="F55" s="37"/>
      <c r="G55" s="37"/>
      <c r="H55" s="37"/>
      <c r="I55" s="37"/>
      <c r="K55" s="37"/>
      <c r="L55" s="37"/>
    </row>
    <row r="56" spans="3:12">
      <c r="C56" s="41"/>
      <c r="D56" s="38"/>
      <c r="E56" s="38"/>
      <c r="F56" s="37"/>
      <c r="G56" s="37"/>
      <c r="H56" s="37"/>
      <c r="I56" s="42"/>
      <c r="J56" s="37"/>
      <c r="K56" s="37"/>
      <c r="L56" s="37"/>
    </row>
    <row r="57" spans="3:12">
      <c r="H57" s="42"/>
      <c r="L57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ED17-CC96-44C3-80BD-537301F0FF1F}">
  <dimension ref="C4:H16"/>
  <sheetViews>
    <sheetView workbookViewId="0">
      <selection activeCell="E10" sqref="E10"/>
    </sheetView>
  </sheetViews>
  <sheetFormatPr baseColWidth="10" defaultRowHeight="15"/>
  <cols>
    <col min="4" max="4" width="50.85546875" bestFit="1" customWidth="1"/>
  </cols>
  <sheetData>
    <row r="4" spans="3:8">
      <c r="C4" s="46" t="s">
        <v>121</v>
      </c>
      <c r="D4" s="46" t="s">
        <v>122</v>
      </c>
      <c r="E4" s="46">
        <f>'1m_25%'!F28+192</f>
        <v>3294.5</v>
      </c>
      <c r="G4" t="s">
        <v>130</v>
      </c>
      <c r="H4">
        <v>1000</v>
      </c>
    </row>
    <row r="5" spans="3:8">
      <c r="C5" t="s">
        <v>123</v>
      </c>
      <c r="D5" s="74" t="s">
        <v>136</v>
      </c>
      <c r="E5">
        <v>0.8</v>
      </c>
      <c r="G5" t="s">
        <v>129</v>
      </c>
      <c r="H5" s="73">
        <f>H4/E4</f>
        <v>0.30353619669145543</v>
      </c>
    </row>
    <row r="6" spans="3:8">
      <c r="C6" t="s">
        <v>125</v>
      </c>
      <c r="D6" t="s">
        <v>124</v>
      </c>
      <c r="E6">
        <v>0.8</v>
      </c>
    </row>
    <row r="7" spans="3:8">
      <c r="C7" t="s">
        <v>126</v>
      </c>
      <c r="D7" s="74" t="s">
        <v>135</v>
      </c>
      <c r="E7">
        <v>0.88</v>
      </c>
    </row>
    <row r="8" spans="3:8">
      <c r="C8" t="s">
        <v>127</v>
      </c>
      <c r="D8" s="74" t="s">
        <v>134</v>
      </c>
      <c r="E8">
        <v>1.05</v>
      </c>
    </row>
    <row r="9" spans="3:8">
      <c r="C9" t="s">
        <v>131</v>
      </c>
      <c r="D9" s="74" t="s">
        <v>133</v>
      </c>
      <c r="E9">
        <v>1</v>
      </c>
    </row>
    <row r="10" spans="3:8">
      <c r="C10" s="46" t="s">
        <v>128</v>
      </c>
      <c r="D10" s="46" t="s">
        <v>132</v>
      </c>
      <c r="E10" s="46">
        <f>(E4*E8*E9)/(E7*E6*E5)</f>
        <v>6142.08984375</v>
      </c>
    </row>
    <row r="13" spans="3:8">
      <c r="C13" t="s">
        <v>137</v>
      </c>
      <c r="E13">
        <f>3300/E7</f>
        <v>3750</v>
      </c>
    </row>
    <row r="14" spans="3:8">
      <c r="C14" t="s">
        <v>138</v>
      </c>
      <c r="E14">
        <f>E13/E6</f>
        <v>4687.5</v>
      </c>
    </row>
    <row r="15" spans="3:8">
      <c r="C15" t="s">
        <v>139</v>
      </c>
      <c r="E15">
        <f>E14/E5</f>
        <v>5859.375</v>
      </c>
    </row>
    <row r="16" spans="3:8">
      <c r="C16" t="s">
        <v>140</v>
      </c>
      <c r="E16">
        <f>E15*E9*E8</f>
        <v>6152.34375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1000"/>
  <sheetViews>
    <sheetView topLeftCell="E12" workbookViewId="0">
      <selection activeCell="I20" sqref="I20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5" width="11.42578125" customWidth="1"/>
    <col min="6" max="6" width="59.140625" customWidth="1"/>
    <col min="7" max="7" width="31.42578125" customWidth="1"/>
    <col min="8" max="8" width="11.42578125" customWidth="1"/>
    <col min="9" max="9" width="59.140625" customWidth="1"/>
    <col min="10" max="10" width="31.42578125" customWidth="1"/>
    <col min="11" max="11" width="11.42578125" customWidth="1"/>
    <col min="12" max="12" width="23.85546875" customWidth="1"/>
    <col min="13" max="14" width="11.42578125" customWidth="1"/>
    <col min="15" max="15" width="17.85546875" customWidth="1"/>
    <col min="16" max="16" width="20.140625" customWidth="1"/>
    <col min="17" max="26" width="11.42578125" customWidth="1"/>
  </cols>
  <sheetData>
    <row r="3" spans="3:16" ht="15.75">
      <c r="C3" s="1" t="s">
        <v>27</v>
      </c>
      <c r="D3" s="1" t="s">
        <v>74</v>
      </c>
      <c r="F3" s="1" t="s">
        <v>27</v>
      </c>
      <c r="G3" s="1" t="s">
        <v>75</v>
      </c>
      <c r="I3" s="1" t="s">
        <v>27</v>
      </c>
      <c r="J3" s="1" t="s">
        <v>76</v>
      </c>
      <c r="L3" s="93" t="s">
        <v>77</v>
      </c>
      <c r="M3" s="94"/>
      <c r="N3" s="94"/>
      <c r="O3" s="94"/>
      <c r="P3" s="94"/>
    </row>
    <row r="4" spans="3:16">
      <c r="C4" s="1" t="s">
        <v>35</v>
      </c>
      <c r="D4" s="1" t="s">
        <v>78</v>
      </c>
      <c r="F4" s="1" t="s">
        <v>35</v>
      </c>
      <c r="G4" s="1" t="s">
        <v>78</v>
      </c>
      <c r="I4" s="1" t="s">
        <v>35</v>
      </c>
      <c r="J4" s="1" t="s">
        <v>79</v>
      </c>
      <c r="L4" s="10"/>
      <c r="M4" s="11" t="s">
        <v>80</v>
      </c>
      <c r="N4" s="11" t="s">
        <v>81</v>
      </c>
      <c r="O4" s="11" t="s">
        <v>79</v>
      </c>
      <c r="P4" s="12" t="s">
        <v>82</v>
      </c>
    </row>
    <row r="5" spans="3:16">
      <c r="C5" s="1" t="s">
        <v>37</v>
      </c>
      <c r="D5" s="1" t="s">
        <v>83</v>
      </c>
      <c r="F5" s="1" t="s">
        <v>37</v>
      </c>
      <c r="G5" s="1" t="s">
        <v>83</v>
      </c>
      <c r="I5" s="1" t="s">
        <v>37</v>
      </c>
      <c r="J5" s="1" t="s">
        <v>83</v>
      </c>
      <c r="L5" s="10" t="s">
        <v>36</v>
      </c>
      <c r="M5" s="10">
        <f t="shared" ref="M5:N5" si="0">1000</f>
        <v>1000</v>
      </c>
      <c r="N5" s="10">
        <f t="shared" si="0"/>
        <v>1000</v>
      </c>
      <c r="O5" s="10">
        <f>2000</f>
        <v>2000</v>
      </c>
      <c r="P5" s="13">
        <f t="shared" ref="P5:P9" si="1">(M5+N5+O5)/3</f>
        <v>1333.3333333333333</v>
      </c>
    </row>
    <row r="6" spans="3:16">
      <c r="L6" s="2" t="s">
        <v>84</v>
      </c>
      <c r="M6" s="10">
        <f>D29</f>
        <v>52542</v>
      </c>
      <c r="N6" s="10">
        <f>G29</f>
        <v>17514</v>
      </c>
      <c r="O6" s="10">
        <f>J29</f>
        <v>14784</v>
      </c>
      <c r="P6" s="13">
        <f t="shared" si="1"/>
        <v>28280</v>
      </c>
    </row>
    <row r="7" spans="3:16">
      <c r="C7" s="1" t="s">
        <v>41</v>
      </c>
      <c r="D7" s="1">
        <f>D10/D8</f>
        <v>150</v>
      </c>
      <c r="F7" s="1" t="s">
        <v>41</v>
      </c>
      <c r="G7" s="6">
        <f>G10/G8</f>
        <v>171.42857142857142</v>
      </c>
      <c r="I7" s="1" t="s">
        <v>41</v>
      </c>
      <c r="J7" s="6">
        <f>J23/J8</f>
        <v>891.72979797979792</v>
      </c>
      <c r="L7" s="10" t="s">
        <v>39</v>
      </c>
      <c r="M7" s="16">
        <f>D7</f>
        <v>150</v>
      </c>
      <c r="N7" s="16">
        <f>G7</f>
        <v>171.42857142857142</v>
      </c>
      <c r="O7" s="16">
        <f>J7</f>
        <v>891.72979797979792</v>
      </c>
      <c r="P7" s="13">
        <f t="shared" si="1"/>
        <v>404.3861231361231</v>
      </c>
    </row>
    <row r="8" spans="3:16">
      <c r="C8" s="1" t="s">
        <v>85</v>
      </c>
      <c r="D8" s="1">
        <v>0.8</v>
      </c>
      <c r="F8" s="1" t="s">
        <v>85</v>
      </c>
      <c r="G8" s="1">
        <v>2.1</v>
      </c>
      <c r="I8" s="1" t="s">
        <v>85</v>
      </c>
      <c r="J8" s="6">
        <v>0.48</v>
      </c>
      <c r="L8" s="10" t="s">
        <v>43</v>
      </c>
      <c r="M8" s="18">
        <f>D9</f>
        <v>244.89795918367346</v>
      </c>
      <c r="N8" s="18">
        <f>G9</f>
        <v>319.43212067435672</v>
      </c>
      <c r="O8" s="18">
        <f>J9</f>
        <v>225.12507391274551</v>
      </c>
      <c r="P8" s="13">
        <f t="shared" si="1"/>
        <v>263.15171792359189</v>
      </c>
    </row>
    <row r="9" spans="3:16">
      <c r="C9" s="1" t="s">
        <v>86</v>
      </c>
      <c r="D9" s="6">
        <f>D10/D15</f>
        <v>244.89795918367346</v>
      </c>
      <c r="F9" s="1" t="s">
        <v>86</v>
      </c>
      <c r="G9" s="6">
        <f>G10/G15</f>
        <v>319.43212067435672</v>
      </c>
      <c r="I9" s="1" t="s">
        <v>86</v>
      </c>
      <c r="J9" s="24">
        <f>J23/J15</f>
        <v>225.12507391274551</v>
      </c>
      <c r="L9" s="10" t="s">
        <v>42</v>
      </c>
      <c r="M9" s="10">
        <f>D50/1000</f>
        <v>3.1274999999999999</v>
      </c>
      <c r="N9" s="10">
        <f>G50/1000</f>
        <v>6.2549999999999999</v>
      </c>
      <c r="O9" s="10">
        <f>J50/1000</f>
        <v>5.3760000000000003</v>
      </c>
      <c r="P9" s="13">
        <f t="shared" si="1"/>
        <v>4.9195000000000002</v>
      </c>
    </row>
    <row r="10" spans="3:16">
      <c r="C10" s="1" t="s">
        <v>49</v>
      </c>
      <c r="D10" s="1">
        <v>120</v>
      </c>
      <c r="F10" s="1" t="s">
        <v>49</v>
      </c>
      <c r="G10" s="1">
        <v>360</v>
      </c>
      <c r="L10" s="10"/>
      <c r="M10" s="2"/>
      <c r="N10" s="2"/>
      <c r="O10" s="2"/>
      <c r="P10" s="13"/>
    </row>
    <row r="12" spans="3:16">
      <c r="C12" s="1" t="s">
        <v>51</v>
      </c>
      <c r="D12" s="1">
        <v>100</v>
      </c>
      <c r="F12" s="1" t="s">
        <v>51</v>
      </c>
      <c r="G12" s="1">
        <v>230</v>
      </c>
    </row>
    <row r="13" spans="3:16">
      <c r="C13" s="1" t="s">
        <v>53</v>
      </c>
      <c r="D13" s="1">
        <v>70</v>
      </c>
      <c r="F13" s="1" t="s">
        <v>53</v>
      </c>
      <c r="G13" s="1">
        <v>70</v>
      </c>
    </row>
    <row r="14" spans="3:16">
      <c r="C14" s="1" t="s">
        <v>55</v>
      </c>
      <c r="D14" s="1">
        <v>70</v>
      </c>
      <c r="F14" s="1" t="s">
        <v>55</v>
      </c>
      <c r="G14" s="1">
        <v>70</v>
      </c>
    </row>
    <row r="15" spans="3:16">
      <c r="C15" s="1" t="s">
        <v>58</v>
      </c>
      <c r="D15" s="1">
        <f>1000*D12*D13*D14/1000000000</f>
        <v>0.49</v>
      </c>
      <c r="F15" s="1" t="s">
        <v>58</v>
      </c>
      <c r="G15" s="1">
        <f>1000*G12*G13*G14/1000000000</f>
        <v>1.127</v>
      </c>
      <c r="I15" s="1" t="s">
        <v>58</v>
      </c>
      <c r="J15" s="25">
        <v>1.9013</v>
      </c>
    </row>
    <row r="19" spans="3:10">
      <c r="C19" s="1" t="s">
        <v>27</v>
      </c>
      <c r="F19" s="1" t="s">
        <v>27</v>
      </c>
      <c r="I19" s="1" t="s">
        <v>27</v>
      </c>
    </row>
    <row r="20" spans="3:10">
      <c r="C20" s="75" t="s">
        <v>0</v>
      </c>
      <c r="D20" s="75">
        <v>750</v>
      </c>
      <c r="F20" s="75" t="s">
        <v>0</v>
      </c>
      <c r="G20" s="75">
        <v>750</v>
      </c>
      <c r="I20" s="75" t="s">
        <v>0</v>
      </c>
      <c r="J20" s="75">
        <v>750</v>
      </c>
    </row>
    <row r="21" spans="3:10" ht="15.75" customHeight="1">
      <c r="C21" s="1" t="s">
        <v>1</v>
      </c>
      <c r="D21" s="1">
        <v>12</v>
      </c>
      <c r="F21" s="1" t="s">
        <v>1</v>
      </c>
      <c r="G21" s="1">
        <v>12</v>
      </c>
      <c r="I21" s="1" t="s">
        <v>1</v>
      </c>
      <c r="J21" s="6">
        <f>J20/J22</f>
        <v>2.8409090909090908</v>
      </c>
    </row>
    <row r="22" spans="3:10" ht="15.75" customHeight="1">
      <c r="C22" s="8" t="s">
        <v>141</v>
      </c>
      <c r="D22" s="1">
        <f>ROUNDUP(D20/D21,0)</f>
        <v>63</v>
      </c>
      <c r="F22" s="8" t="s">
        <v>141</v>
      </c>
      <c r="G22" s="1">
        <f>ROUNDUP(G20/G21,0)</f>
        <v>63</v>
      </c>
      <c r="I22" s="8" t="s">
        <v>141</v>
      </c>
      <c r="J22" s="1">
        <v>264</v>
      </c>
    </row>
    <row r="23" spans="3:10" ht="15.75" customHeight="1">
      <c r="C23" s="1" t="s">
        <v>3</v>
      </c>
      <c r="D23" s="1">
        <f>D10</f>
        <v>120</v>
      </c>
      <c r="F23" s="1" t="s">
        <v>3</v>
      </c>
      <c r="G23" s="1">
        <f>G10</f>
        <v>360</v>
      </c>
      <c r="I23" s="1" t="s">
        <v>3</v>
      </c>
      <c r="J23" s="3">
        <f>J24/J22</f>
        <v>428.030303030303</v>
      </c>
    </row>
    <row r="24" spans="3:10" ht="15.75" customHeight="1">
      <c r="C24" s="8" t="s">
        <v>4</v>
      </c>
      <c r="D24" s="1">
        <f>D23*D22</f>
        <v>7560</v>
      </c>
      <c r="F24" s="8" t="s">
        <v>4</v>
      </c>
      <c r="G24" s="1">
        <f>G23*G22</f>
        <v>22680</v>
      </c>
      <c r="I24" s="8" t="s">
        <v>4</v>
      </c>
      <c r="J24" s="1">
        <f>226000/2</f>
        <v>113000</v>
      </c>
    </row>
    <row r="25" spans="3:10" ht="15.75" customHeight="1">
      <c r="C25" s="75" t="s">
        <v>5</v>
      </c>
      <c r="D25" s="75">
        <v>6300000</v>
      </c>
      <c r="F25" s="75" t="s">
        <v>5</v>
      </c>
      <c r="G25" s="75">
        <v>6300000</v>
      </c>
      <c r="I25" s="75" t="s">
        <v>5</v>
      </c>
      <c r="J25" s="75">
        <v>6300000</v>
      </c>
    </row>
    <row r="26" spans="3:10" ht="15.75" customHeight="1">
      <c r="C26" s="8" t="s">
        <v>6</v>
      </c>
      <c r="D26" s="1">
        <f>ROUNDUP(D25/D24,0)</f>
        <v>834</v>
      </c>
      <c r="F26" s="8" t="s">
        <v>6</v>
      </c>
      <c r="G26" s="1">
        <f>ROUNDUP(G25/G24,0)</f>
        <v>278</v>
      </c>
      <c r="I26" s="8" t="s">
        <v>6</v>
      </c>
      <c r="J26" s="1">
        <f>ROUNDUP(J25/J24,0)</f>
        <v>56</v>
      </c>
    </row>
    <row r="27" spans="3:10" ht="15.75" customHeight="1">
      <c r="C27" s="1" t="s">
        <v>7</v>
      </c>
      <c r="D27" s="1">
        <v>10</v>
      </c>
      <c r="F27" s="1" t="s">
        <v>7</v>
      </c>
      <c r="G27" s="1">
        <v>30</v>
      </c>
      <c r="I27" s="1" t="s">
        <v>7</v>
      </c>
      <c r="J27" s="1">
        <v>128</v>
      </c>
    </row>
    <row r="28" spans="3:10" ht="15.75" customHeight="1">
      <c r="C28" s="8" t="s">
        <v>8</v>
      </c>
      <c r="D28" s="1">
        <f>D27*D26</f>
        <v>8340</v>
      </c>
      <c r="F28" s="8" t="s">
        <v>8</v>
      </c>
      <c r="G28" s="1">
        <f>G27*G26</f>
        <v>8340</v>
      </c>
      <c r="I28" s="8" t="s">
        <v>8</v>
      </c>
      <c r="J28" s="1">
        <f>J27*J26</f>
        <v>7168</v>
      </c>
    </row>
    <row r="29" spans="3:10" ht="15.75" customHeight="1">
      <c r="C29" s="9" t="s">
        <v>142</v>
      </c>
      <c r="D29" s="1">
        <f>D22*D26</f>
        <v>52542</v>
      </c>
      <c r="F29" s="9" t="s">
        <v>142</v>
      </c>
      <c r="G29" s="1">
        <f>G22*G26</f>
        <v>17514</v>
      </c>
      <c r="I29" s="9" t="s">
        <v>142</v>
      </c>
      <c r="J29" s="1">
        <f>J22*J26</f>
        <v>14784</v>
      </c>
    </row>
    <row r="30" spans="3:10" ht="15.75" customHeight="1"/>
    <row r="31" spans="3:10" ht="15.75" customHeight="1">
      <c r="C31" t="s">
        <v>10</v>
      </c>
      <c r="D31" s="1">
        <f>D8</f>
        <v>0.8</v>
      </c>
      <c r="F31" t="s">
        <v>10</v>
      </c>
      <c r="G31" s="1">
        <f>G8</f>
        <v>2.1</v>
      </c>
      <c r="I31" t="s">
        <v>10</v>
      </c>
      <c r="J31" s="6">
        <f>J8</f>
        <v>0.48</v>
      </c>
    </row>
    <row r="32" spans="3:10" ht="15.75" customHeight="1">
      <c r="C32" s="8" t="s">
        <v>11</v>
      </c>
      <c r="D32" s="1">
        <f>D29*D31</f>
        <v>42033.600000000006</v>
      </c>
      <c r="F32" s="8" t="s">
        <v>11</v>
      </c>
      <c r="G32" s="1">
        <f>G29*G31</f>
        <v>36779.4</v>
      </c>
      <c r="I32" s="8" t="s">
        <v>11</v>
      </c>
      <c r="J32" s="1">
        <f>J31*J29</f>
        <v>7096.32</v>
      </c>
    </row>
    <row r="33" spans="3:10" ht="15.75" customHeight="1">
      <c r="C33" t="s">
        <v>143</v>
      </c>
      <c r="D33" s="1">
        <f>D15/1000</f>
        <v>4.8999999999999998E-4</v>
      </c>
      <c r="F33" t="s">
        <v>143</v>
      </c>
      <c r="G33" s="1">
        <f>G15/1000</f>
        <v>1.127E-3</v>
      </c>
      <c r="I33" t="s">
        <v>143</v>
      </c>
      <c r="J33" s="25">
        <f>J15/1000</f>
        <v>1.9013000000000001E-3</v>
      </c>
    </row>
    <row r="34" spans="3:10" ht="15.75" customHeight="1">
      <c r="C34" s="8" t="s">
        <v>13</v>
      </c>
      <c r="D34" s="1">
        <f>D29*D33</f>
        <v>25.74558</v>
      </c>
      <c r="F34" s="8" t="s">
        <v>13</v>
      </c>
      <c r="G34" s="1">
        <f>G29*G33</f>
        <v>19.738278000000001</v>
      </c>
      <c r="I34" s="8" t="s">
        <v>13</v>
      </c>
      <c r="J34" s="6">
        <f>J33*J29</f>
        <v>28.108819200000003</v>
      </c>
    </row>
    <row r="35" spans="3:10" ht="15.75" customHeight="1"/>
    <row r="36" spans="3:10" ht="15.75" customHeight="1">
      <c r="C36" s="1" t="s">
        <v>16</v>
      </c>
      <c r="D36" s="1">
        <v>0.5</v>
      </c>
      <c r="F36" s="1" t="s">
        <v>16</v>
      </c>
      <c r="G36" s="1">
        <v>0.5</v>
      </c>
      <c r="I36" s="1" t="s">
        <v>16</v>
      </c>
      <c r="J36" s="1">
        <v>1</v>
      </c>
    </row>
    <row r="37" spans="3:10" ht="15.75" customHeight="1">
      <c r="C37" s="1" t="s">
        <v>17</v>
      </c>
      <c r="D37" s="1">
        <v>1</v>
      </c>
      <c r="F37" s="1" t="s">
        <v>17</v>
      </c>
      <c r="G37" s="1">
        <v>1</v>
      </c>
      <c r="I37" s="1" t="s">
        <v>17</v>
      </c>
      <c r="J37" s="1">
        <v>1</v>
      </c>
    </row>
    <row r="38" spans="3:10" ht="15.75" customHeight="1">
      <c r="C38" s="1" t="s">
        <v>18</v>
      </c>
      <c r="D38" s="1">
        <v>3</v>
      </c>
      <c r="F38" s="1" t="s">
        <v>18</v>
      </c>
      <c r="G38" s="1">
        <v>3</v>
      </c>
      <c r="I38" s="1" t="s">
        <v>18</v>
      </c>
      <c r="J38" s="1">
        <v>3</v>
      </c>
    </row>
    <row r="39" spans="3:10" ht="15.75" customHeight="1">
      <c r="C39" s="26" t="s">
        <v>14</v>
      </c>
      <c r="D39" s="1">
        <v>3</v>
      </c>
      <c r="F39" s="26" t="s">
        <v>14</v>
      </c>
      <c r="G39" s="1">
        <v>5</v>
      </c>
      <c r="I39" s="26" t="s">
        <v>14</v>
      </c>
      <c r="J39" s="1">
        <f>J27*J36</f>
        <v>128</v>
      </c>
    </row>
    <row r="40" spans="3:10" ht="15.75" customHeight="1">
      <c r="C40" s="26" t="s">
        <v>15</v>
      </c>
      <c r="D40" s="1">
        <v>5</v>
      </c>
      <c r="F40" s="26" t="s">
        <v>15</v>
      </c>
      <c r="G40" s="1">
        <v>30</v>
      </c>
      <c r="I40" s="26" t="s">
        <v>15</v>
      </c>
      <c r="J40" s="1">
        <f>J37*J27</f>
        <v>128</v>
      </c>
    </row>
    <row r="41" spans="3:10" ht="15.75" customHeight="1">
      <c r="C41" s="26" t="s">
        <v>87</v>
      </c>
      <c r="D41" s="1">
        <v>20</v>
      </c>
      <c r="F41" s="26" t="s">
        <v>87</v>
      </c>
      <c r="G41" s="1">
        <v>60</v>
      </c>
      <c r="I41" s="26" t="s">
        <v>87</v>
      </c>
      <c r="J41" s="1">
        <v>750</v>
      </c>
    </row>
    <row r="42" spans="3:10" ht="15.75" customHeight="1">
      <c r="C42" s="8" t="s">
        <v>19</v>
      </c>
      <c r="D42" s="80">
        <f>D41</f>
        <v>20</v>
      </c>
      <c r="F42" s="8" t="s">
        <v>19</v>
      </c>
      <c r="G42" s="80">
        <f>G41</f>
        <v>60</v>
      </c>
      <c r="I42" s="8" t="s">
        <v>19</v>
      </c>
      <c r="J42" s="80">
        <f>J41</f>
        <v>750</v>
      </c>
    </row>
    <row r="43" spans="3:10" ht="15.75" customHeight="1">
      <c r="C43" s="8" t="s">
        <v>20</v>
      </c>
      <c r="D43" s="80">
        <f>D42*D26</f>
        <v>16680</v>
      </c>
      <c r="F43" s="8" t="s">
        <v>20</v>
      </c>
      <c r="G43" s="80">
        <f>G42*G26</f>
        <v>16680</v>
      </c>
      <c r="I43" s="8" t="s">
        <v>20</v>
      </c>
      <c r="J43" s="80">
        <f>J42*J26</f>
        <v>42000</v>
      </c>
    </row>
    <row r="44" spans="3:10" ht="15.75" customHeight="1">
      <c r="C44" s="8" t="s">
        <v>71</v>
      </c>
      <c r="D44" s="80">
        <f>D43*D20/1000</f>
        <v>12510</v>
      </c>
      <c r="F44" s="8" t="s">
        <v>71</v>
      </c>
      <c r="G44" s="80">
        <f>G43*G20/1000</f>
        <v>12510</v>
      </c>
      <c r="I44" s="8" t="s">
        <v>71</v>
      </c>
      <c r="J44" s="80">
        <f>J43*J20/1000</f>
        <v>31500</v>
      </c>
    </row>
    <row r="45" spans="3:10" ht="15.75" customHeight="1">
      <c r="C45" s="8" t="s">
        <v>21</v>
      </c>
      <c r="D45" s="1">
        <f>D39</f>
        <v>3</v>
      </c>
      <c r="F45" s="8" t="s">
        <v>21</v>
      </c>
      <c r="G45" s="1">
        <f>G39</f>
        <v>5</v>
      </c>
      <c r="I45" s="8" t="s">
        <v>21</v>
      </c>
      <c r="J45" s="1">
        <f>J39</f>
        <v>128</v>
      </c>
    </row>
    <row r="46" spans="3:10" ht="15.75" customHeight="1">
      <c r="C46" s="8" t="s">
        <v>22</v>
      </c>
      <c r="D46" s="1">
        <f>D45*D26</f>
        <v>2502</v>
      </c>
      <c r="F46" s="8" t="s">
        <v>22</v>
      </c>
      <c r="G46" s="1">
        <f>G45*G26</f>
        <v>1390</v>
      </c>
      <c r="I46" s="8" t="s">
        <v>22</v>
      </c>
      <c r="J46" s="1">
        <f>J45*J26</f>
        <v>7168</v>
      </c>
    </row>
    <row r="47" spans="3:10" ht="15.75" customHeight="1">
      <c r="C47" s="8" t="s">
        <v>23</v>
      </c>
      <c r="D47" s="1">
        <f>D46*D20</f>
        <v>1876500</v>
      </c>
      <c r="F47" s="8" t="s">
        <v>23</v>
      </c>
      <c r="G47" s="1">
        <f>G46*G20</f>
        <v>1042500</v>
      </c>
      <c r="I47" s="8" t="s">
        <v>23</v>
      </c>
      <c r="J47" s="1">
        <f>J46*J20</f>
        <v>5376000</v>
      </c>
    </row>
    <row r="48" spans="3:10" ht="15.75" customHeight="1">
      <c r="C48" s="8" t="s">
        <v>24</v>
      </c>
      <c r="D48" s="80">
        <f>D40</f>
        <v>5</v>
      </c>
      <c r="F48" s="8" t="s">
        <v>24</v>
      </c>
      <c r="G48" s="80">
        <f>G40</f>
        <v>30</v>
      </c>
      <c r="I48" s="8" t="s">
        <v>24</v>
      </c>
      <c r="J48" s="80">
        <f>J40</f>
        <v>128</v>
      </c>
    </row>
    <row r="49" spans="3:10" ht="15.75" customHeight="1">
      <c r="C49" s="8" t="s">
        <v>25</v>
      </c>
      <c r="D49" s="80">
        <f>D48*D26</f>
        <v>4170</v>
      </c>
      <c r="F49" s="8" t="s">
        <v>25</v>
      </c>
      <c r="G49" s="80">
        <f>G48*G26</f>
        <v>8340</v>
      </c>
      <c r="I49" s="8" t="s">
        <v>25</v>
      </c>
      <c r="J49" s="80">
        <f>J48*J26</f>
        <v>7168</v>
      </c>
    </row>
    <row r="50" spans="3:10" ht="15.75" customHeight="1">
      <c r="C50" s="8" t="s">
        <v>73</v>
      </c>
      <c r="D50" s="80">
        <f>D49*D20/1000</f>
        <v>3127.5</v>
      </c>
      <c r="F50" s="8" t="s">
        <v>73</v>
      </c>
      <c r="G50" s="80">
        <f>G49*G20/1000</f>
        <v>6255</v>
      </c>
      <c r="I50" s="8" t="s">
        <v>73</v>
      </c>
      <c r="J50" s="80">
        <f>J49*J20/1000</f>
        <v>5376</v>
      </c>
    </row>
    <row r="51" spans="3:10" ht="15.75" customHeight="1"/>
    <row r="52" spans="3:10" ht="15.75" customHeight="1"/>
    <row r="53" spans="3:10" ht="15.75" customHeight="1"/>
    <row r="54" spans="3:10" ht="15.75" customHeight="1"/>
    <row r="55" spans="3:10" ht="15.75" customHeight="1"/>
    <row r="56" spans="3:10" ht="15.75" customHeight="1"/>
    <row r="57" spans="3:10" ht="15.75" customHeight="1"/>
    <row r="58" spans="3:10" ht="15.75" customHeight="1"/>
    <row r="59" spans="3:10" ht="15.75" customHeight="1"/>
    <row r="60" spans="3:10" ht="15.75" customHeight="1"/>
    <row r="61" spans="3:10" ht="15.75" customHeight="1"/>
    <row r="62" spans="3:10" ht="15.75" customHeight="1"/>
    <row r="63" spans="3:10" ht="15.75" customHeight="1"/>
    <row r="64" spans="3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3:P3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X1000"/>
  <sheetViews>
    <sheetView topLeftCell="G12" workbookViewId="0">
      <selection activeCell="L17" sqref="L17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6" width="11.42578125" customWidth="1"/>
    <col min="7" max="7" width="59" customWidth="1"/>
    <col min="8" max="8" width="13.42578125" customWidth="1"/>
    <col min="9" max="10" width="11.42578125" customWidth="1"/>
    <col min="11" max="11" width="59" customWidth="1"/>
    <col min="12" max="12" width="13.42578125" customWidth="1"/>
    <col min="13" max="14" width="11.42578125" customWidth="1"/>
    <col min="15" max="15" width="26.5703125" customWidth="1"/>
    <col min="16" max="17" width="11.85546875" customWidth="1"/>
    <col min="18" max="18" width="16.7109375" customWidth="1"/>
    <col min="19" max="19" width="11.42578125" customWidth="1"/>
    <col min="20" max="20" width="22.5703125" customWidth="1"/>
    <col min="21" max="23" width="11.42578125" customWidth="1"/>
    <col min="24" max="24" width="14.140625" customWidth="1"/>
    <col min="25" max="33" width="11.42578125" customWidth="1"/>
  </cols>
  <sheetData>
    <row r="2" spans="3:24" ht="15.75">
      <c r="T2" s="93" t="s">
        <v>26</v>
      </c>
      <c r="U2" s="94"/>
      <c r="V2" s="94"/>
      <c r="W2" s="94"/>
      <c r="X2" s="94"/>
    </row>
    <row r="3" spans="3:24">
      <c r="C3" s="4" t="s">
        <v>27</v>
      </c>
      <c r="D3" s="4" t="s">
        <v>28</v>
      </c>
      <c r="G3" s="4" t="s">
        <v>27</v>
      </c>
      <c r="H3" s="4" t="s">
        <v>29</v>
      </c>
      <c r="K3" s="4" t="s">
        <v>27</v>
      </c>
      <c r="L3" s="4" t="s">
        <v>30</v>
      </c>
      <c r="O3" s="10"/>
      <c r="P3" s="11"/>
      <c r="Q3" s="11"/>
      <c r="R3" s="11"/>
      <c r="T3" s="10"/>
      <c r="U3" s="11" t="s">
        <v>31</v>
      </c>
      <c r="V3" s="11" t="s">
        <v>32</v>
      </c>
      <c r="W3" s="11" t="s">
        <v>33</v>
      </c>
      <c r="X3" s="12" t="s">
        <v>34</v>
      </c>
    </row>
    <row r="4" spans="3:24">
      <c r="C4" s="4" t="s">
        <v>35</v>
      </c>
      <c r="D4" s="4" t="s">
        <v>31</v>
      </c>
      <c r="G4" s="4" t="s">
        <v>35</v>
      </c>
      <c r="H4" s="4" t="s">
        <v>32</v>
      </c>
      <c r="K4" s="4" t="s">
        <v>35</v>
      </c>
      <c r="L4" s="4" t="s">
        <v>33</v>
      </c>
      <c r="O4" s="10"/>
      <c r="P4" s="2"/>
      <c r="Q4" s="2"/>
      <c r="R4" s="2"/>
      <c r="T4" s="10" t="s">
        <v>36</v>
      </c>
      <c r="U4" s="10">
        <v>1500</v>
      </c>
      <c r="V4" s="10">
        <v>2000</v>
      </c>
      <c r="W4" s="10">
        <v>4000</v>
      </c>
      <c r="X4" s="13">
        <f t="shared" ref="X4:X8" si="0">(U4+V4+W4)/3</f>
        <v>2500</v>
      </c>
    </row>
    <row r="5" spans="3:24">
      <c r="C5" s="2" t="s">
        <v>37</v>
      </c>
      <c r="D5" s="2" t="s">
        <v>38</v>
      </c>
      <c r="G5" s="2" t="s">
        <v>37</v>
      </c>
      <c r="H5" s="2" t="s">
        <v>38</v>
      </c>
      <c r="K5" s="2" t="s">
        <v>37</v>
      </c>
      <c r="L5" s="2" t="s">
        <v>38</v>
      </c>
      <c r="O5" s="10"/>
      <c r="P5" s="14"/>
      <c r="Q5" s="14"/>
      <c r="R5" s="14"/>
      <c r="T5" s="2" t="s">
        <v>40</v>
      </c>
      <c r="U5" s="10">
        <f>D29</f>
        <v>64959</v>
      </c>
      <c r="V5" s="10">
        <f>H29</f>
        <v>9853</v>
      </c>
      <c r="W5" s="10">
        <f>L29</f>
        <v>3300</v>
      </c>
      <c r="X5" s="13">
        <f t="shared" si="0"/>
        <v>26037.333333333332</v>
      </c>
    </row>
    <row r="6" spans="3:24">
      <c r="O6" s="10"/>
      <c r="P6" s="15"/>
      <c r="Q6" s="15"/>
      <c r="R6" s="15"/>
      <c r="T6" s="10" t="s">
        <v>39</v>
      </c>
      <c r="U6" s="16">
        <f>D7</f>
        <v>97</v>
      </c>
      <c r="V6" s="16">
        <f>H7</f>
        <v>101.5873015873016</v>
      </c>
      <c r="W6" s="16">
        <f>L7</f>
        <v>102</v>
      </c>
      <c r="X6" s="13">
        <f t="shared" si="0"/>
        <v>100.19576719576719</v>
      </c>
    </row>
    <row r="7" spans="3:24">
      <c r="C7" s="1" t="s">
        <v>41</v>
      </c>
      <c r="D7" s="1">
        <v>97</v>
      </c>
      <c r="G7" s="1" t="s">
        <v>41</v>
      </c>
      <c r="H7" s="17">
        <f>H11/H8</f>
        <v>101.5873015873016</v>
      </c>
      <c r="K7" s="1" t="s">
        <v>41</v>
      </c>
      <c r="L7" s="17">
        <v>102</v>
      </c>
      <c r="O7" s="10"/>
      <c r="P7" s="2"/>
      <c r="Q7" s="2"/>
      <c r="R7" s="2"/>
      <c r="T7" s="10" t="s">
        <v>43</v>
      </c>
      <c r="U7" s="18">
        <v>107</v>
      </c>
      <c r="V7" s="18">
        <f>640/H15</f>
        <v>114.4483535710211</v>
      </c>
      <c r="W7" s="18">
        <f>L11/L15</f>
        <v>162.13203627704311</v>
      </c>
      <c r="X7" s="13">
        <f t="shared" si="0"/>
        <v>127.86012994935474</v>
      </c>
    </row>
    <row r="8" spans="3:24">
      <c r="C8" s="1" t="s">
        <v>44</v>
      </c>
      <c r="D8" s="1">
        <v>0.9</v>
      </c>
      <c r="G8" s="1" t="s">
        <v>45</v>
      </c>
      <c r="H8" s="1">
        <v>6.3</v>
      </c>
      <c r="K8" s="7" t="s">
        <v>45</v>
      </c>
      <c r="L8" s="7">
        <v>18.7</v>
      </c>
      <c r="O8" s="10"/>
      <c r="P8" s="2"/>
      <c r="Q8" s="2"/>
      <c r="R8" s="2"/>
      <c r="T8" s="10" t="s">
        <v>42</v>
      </c>
      <c r="U8" s="10">
        <f>D50</f>
        <v>12386.25</v>
      </c>
      <c r="V8" s="10">
        <f>H50</f>
        <v>6262.5</v>
      </c>
      <c r="W8" s="10">
        <f>L50</f>
        <v>6187.5</v>
      </c>
      <c r="X8" s="13">
        <f t="shared" si="0"/>
        <v>8278.75</v>
      </c>
    </row>
    <row r="9" spans="3:24">
      <c r="C9" s="1" t="s">
        <v>46</v>
      </c>
      <c r="D9" s="1">
        <v>1.1000000000000001</v>
      </c>
    </row>
    <row r="10" spans="3:24">
      <c r="C10" s="1" t="s">
        <v>47</v>
      </c>
      <c r="D10" s="1">
        <f>D7*D8</f>
        <v>87.3</v>
      </c>
    </row>
    <row r="11" spans="3:24">
      <c r="C11" s="1" t="s">
        <v>48</v>
      </c>
      <c r="D11" s="1">
        <f>D7*D9</f>
        <v>106.7</v>
      </c>
      <c r="G11" s="1" t="s">
        <v>49</v>
      </c>
      <c r="H11" s="1">
        <v>640</v>
      </c>
      <c r="K11" s="1" t="s">
        <v>49</v>
      </c>
      <c r="L11" s="1">
        <v>1920</v>
      </c>
      <c r="O11" s="95" t="s">
        <v>50</v>
      </c>
      <c r="P11" s="94"/>
    </row>
    <row r="12" spans="3:24">
      <c r="C12" s="1" t="s">
        <v>51</v>
      </c>
      <c r="D12" s="1">
        <v>152</v>
      </c>
      <c r="G12" s="1" t="s">
        <v>51</v>
      </c>
      <c r="H12" s="1">
        <v>197</v>
      </c>
      <c r="K12" s="1" t="s">
        <v>51</v>
      </c>
      <c r="L12" s="1">
        <v>306</v>
      </c>
      <c r="O12" s="10" t="s">
        <v>52</v>
      </c>
      <c r="P12" s="1">
        <v>5957</v>
      </c>
    </row>
    <row r="13" spans="3:24">
      <c r="C13" s="1" t="s">
        <v>53</v>
      </c>
      <c r="D13" s="1">
        <v>65</v>
      </c>
      <c r="G13" s="1" t="s">
        <v>53</v>
      </c>
      <c r="H13" s="1">
        <v>166</v>
      </c>
      <c r="K13" s="1" t="s">
        <v>53</v>
      </c>
      <c r="L13" s="1">
        <v>172</v>
      </c>
      <c r="O13" s="10" t="s">
        <v>54</v>
      </c>
      <c r="P13" s="1">
        <v>2286</v>
      </c>
    </row>
    <row r="14" spans="3:24">
      <c r="C14" s="1" t="s">
        <v>55</v>
      </c>
      <c r="D14" s="1">
        <v>92</v>
      </c>
      <c r="G14" s="1" t="s">
        <v>55</v>
      </c>
      <c r="H14" s="1">
        <v>171</v>
      </c>
      <c r="K14" s="1" t="s">
        <v>55</v>
      </c>
      <c r="L14" s="1">
        <v>225</v>
      </c>
      <c r="O14" s="10" t="s">
        <v>56</v>
      </c>
      <c r="P14" s="1">
        <v>2494</v>
      </c>
    </row>
    <row r="15" spans="3:24">
      <c r="C15" s="1" t="s">
        <v>57</v>
      </c>
      <c r="D15" s="1">
        <f>D12*D13*D14/1000000000</f>
        <v>9.0896E-4</v>
      </c>
      <c r="G15" s="1" t="s">
        <v>58</v>
      </c>
      <c r="H15" s="1">
        <f>1000*H12*H13*H14/(1000000000)</f>
        <v>5.5920420000000002</v>
      </c>
      <c r="K15" s="7" t="s">
        <v>58</v>
      </c>
      <c r="L15" s="7">
        <f>1000*L12*L13*L14/(1000000000)</f>
        <v>11.8422</v>
      </c>
      <c r="O15" s="10" t="s">
        <v>59</v>
      </c>
      <c r="P15" s="1">
        <f>P12*P13*P14</f>
        <v>33962548788</v>
      </c>
    </row>
    <row r="16" spans="3:24">
      <c r="O16" s="10" t="s">
        <v>60</v>
      </c>
      <c r="P16" s="19">
        <v>33.963000000000001</v>
      </c>
    </row>
    <row r="17" spans="3:16">
      <c r="O17" s="11" t="s">
        <v>61</v>
      </c>
      <c r="P17" s="7">
        <v>33963</v>
      </c>
    </row>
    <row r="18" spans="3:16">
      <c r="O18" s="11" t="s">
        <v>62</v>
      </c>
      <c r="P18" s="7">
        <v>13750</v>
      </c>
    </row>
    <row r="19" spans="3:16">
      <c r="C19" s="1" t="s">
        <v>27</v>
      </c>
      <c r="G19" s="1" t="s">
        <v>27</v>
      </c>
      <c r="K19" s="1" t="s">
        <v>27</v>
      </c>
    </row>
    <row r="20" spans="3:16">
      <c r="C20" s="75" t="s">
        <v>0</v>
      </c>
      <c r="D20" s="76">
        <v>750</v>
      </c>
      <c r="G20" s="75" t="s">
        <v>0</v>
      </c>
      <c r="H20" s="76">
        <v>750</v>
      </c>
      <c r="K20" s="75" t="s">
        <v>0</v>
      </c>
      <c r="L20" s="76">
        <v>750</v>
      </c>
      <c r="O20" s="96" t="s">
        <v>63</v>
      </c>
      <c r="P20" s="94"/>
    </row>
    <row r="21" spans="3:16" ht="15.75" customHeight="1">
      <c r="C21" s="1" t="s">
        <v>1</v>
      </c>
      <c r="D21" s="5">
        <v>12.8</v>
      </c>
      <c r="G21" s="1" t="s">
        <v>1</v>
      </c>
      <c r="H21" s="5">
        <v>12.8</v>
      </c>
      <c r="K21" s="1" t="s">
        <v>1</v>
      </c>
      <c r="L21" s="5">
        <v>38.4</v>
      </c>
      <c r="O21" s="11" t="s">
        <v>64</v>
      </c>
      <c r="P21" s="7">
        <v>140</v>
      </c>
    </row>
    <row r="22" spans="3:16" ht="15.75" customHeight="1">
      <c r="C22" s="8" t="s">
        <v>141</v>
      </c>
      <c r="D22" s="1">
        <f>ROUNDUP(D20/D21,0)</f>
        <v>59</v>
      </c>
      <c r="G22" s="8" t="s">
        <v>141</v>
      </c>
      <c r="H22" s="1">
        <f>ROUNDUP(H20/H21,0)</f>
        <v>59</v>
      </c>
      <c r="K22" s="8" t="s">
        <v>141</v>
      </c>
      <c r="L22" s="1">
        <f>ROUNDUP(L20/L21,0)</f>
        <v>20</v>
      </c>
      <c r="O22" s="11" t="s">
        <v>65</v>
      </c>
      <c r="P22" s="1">
        <f>P21*L15</f>
        <v>1657.9079999999999</v>
      </c>
    </row>
    <row r="23" spans="3:16" ht="15.75" customHeight="1">
      <c r="C23" s="1" t="s">
        <v>3</v>
      </c>
      <c r="D23" s="20">
        <v>97</v>
      </c>
      <c r="G23" s="1" t="s">
        <v>3</v>
      </c>
      <c r="H23" s="20">
        <f>H11</f>
        <v>640</v>
      </c>
      <c r="K23" s="1" t="s">
        <v>3</v>
      </c>
      <c r="L23" s="20">
        <f>L11</f>
        <v>1920</v>
      </c>
      <c r="O23" s="11" t="s">
        <v>66</v>
      </c>
      <c r="P23" s="1">
        <f>P21*L8</f>
        <v>2618</v>
      </c>
    </row>
    <row r="24" spans="3:16" ht="15.75" customHeight="1">
      <c r="C24" s="8" t="s">
        <v>4</v>
      </c>
      <c r="D24" s="1">
        <f>D23*D22</f>
        <v>5723</v>
      </c>
      <c r="G24" s="8" t="s">
        <v>4</v>
      </c>
      <c r="H24" s="1">
        <f>H23*H22</f>
        <v>37760</v>
      </c>
      <c r="K24" s="8" t="s">
        <v>4</v>
      </c>
      <c r="L24" s="1">
        <f>L23*L22</f>
        <v>38400</v>
      </c>
      <c r="O24" s="97" t="s">
        <v>67</v>
      </c>
      <c r="P24" s="94"/>
    </row>
    <row r="25" spans="3:16" ht="15.75" customHeight="1">
      <c r="C25" s="75" t="s">
        <v>5</v>
      </c>
      <c r="D25" s="77">
        <v>6300000</v>
      </c>
      <c r="G25" s="75" t="s">
        <v>5</v>
      </c>
      <c r="H25" s="77">
        <v>6300000</v>
      </c>
      <c r="K25" s="75" t="s">
        <v>5</v>
      </c>
      <c r="L25" s="77">
        <v>6300000</v>
      </c>
      <c r="O25" s="21" t="s">
        <v>68</v>
      </c>
      <c r="P25" s="22">
        <v>2600</v>
      </c>
    </row>
    <row r="26" spans="3:16" ht="15.75" customHeight="1">
      <c r="C26" s="8" t="s">
        <v>6</v>
      </c>
      <c r="D26" s="1">
        <f>ROUNDUP(D25/D24,0)</f>
        <v>1101</v>
      </c>
      <c r="G26" s="8" t="s">
        <v>6</v>
      </c>
      <c r="H26" s="1">
        <f>ROUNDUP(H25/H24,0)</f>
        <v>167</v>
      </c>
      <c r="K26" s="8" t="s">
        <v>6</v>
      </c>
      <c r="L26" s="1">
        <f>ROUNDUP(L25/L24,0)</f>
        <v>165</v>
      </c>
      <c r="O26" s="11" t="s">
        <v>65</v>
      </c>
      <c r="P26" s="23" t="s">
        <v>69</v>
      </c>
    </row>
    <row r="27" spans="3:16" ht="15.75" customHeight="1">
      <c r="C27" s="1" t="s">
        <v>7</v>
      </c>
      <c r="D27" s="1">
        <v>7.6</v>
      </c>
      <c r="G27" s="1" t="s">
        <v>7</v>
      </c>
      <c r="H27" s="1">
        <v>50</v>
      </c>
      <c r="K27" s="1" t="s">
        <v>7</v>
      </c>
      <c r="L27" s="1">
        <v>50</v>
      </c>
    </row>
    <row r="28" spans="3:16" ht="15.75" customHeight="1">
      <c r="C28" s="8" t="s">
        <v>8</v>
      </c>
      <c r="D28" s="1">
        <f>D27*D26</f>
        <v>8367.6</v>
      </c>
      <c r="G28" s="8" t="s">
        <v>8</v>
      </c>
      <c r="H28" s="1">
        <f>H27*H26</f>
        <v>8350</v>
      </c>
      <c r="K28" s="8" t="s">
        <v>8</v>
      </c>
      <c r="L28" s="1">
        <f>L27*L26</f>
        <v>8250</v>
      </c>
      <c r="O28" s="98" t="s">
        <v>114</v>
      </c>
      <c r="P28" s="98"/>
    </row>
    <row r="29" spans="3:16" ht="15.75" customHeight="1">
      <c r="C29" s="9" t="s">
        <v>142</v>
      </c>
      <c r="D29" s="1">
        <f>D22*D26</f>
        <v>64959</v>
      </c>
      <c r="G29" s="9" t="s">
        <v>142</v>
      </c>
      <c r="H29" s="1">
        <f>H22*H26</f>
        <v>9853</v>
      </c>
      <c r="K29" s="9" t="s">
        <v>142</v>
      </c>
      <c r="L29" s="1">
        <f>L22*L26</f>
        <v>3300</v>
      </c>
      <c r="O29" t="s">
        <v>115</v>
      </c>
      <c r="P29" s="53">
        <f>269*2.832*1000</f>
        <v>761808</v>
      </c>
    </row>
    <row r="30" spans="3:16" ht="15.75" customHeight="1">
      <c r="O30" t="s">
        <v>116</v>
      </c>
      <c r="P30">
        <f>P29*0.3</f>
        <v>228542.4</v>
      </c>
    </row>
    <row r="31" spans="3:16" ht="15.75" customHeight="1">
      <c r="C31" t="s">
        <v>10</v>
      </c>
      <c r="D31" s="1">
        <v>1</v>
      </c>
      <c r="G31" t="s">
        <v>10</v>
      </c>
      <c r="H31" s="1">
        <v>6.3</v>
      </c>
      <c r="K31" t="s">
        <v>10</v>
      </c>
      <c r="L31" s="1">
        <v>18.7</v>
      </c>
      <c r="O31" s="50" t="s">
        <v>117</v>
      </c>
      <c r="P31">
        <v>220000</v>
      </c>
    </row>
    <row r="32" spans="3:16" ht="15.75" customHeight="1">
      <c r="C32" s="8" t="s">
        <v>11</v>
      </c>
      <c r="D32" s="7">
        <f>D29*D31</f>
        <v>64959</v>
      </c>
      <c r="G32" s="8" t="s">
        <v>11</v>
      </c>
      <c r="H32" s="7">
        <f>H29*H31</f>
        <v>62073.9</v>
      </c>
      <c r="K32" s="8" t="s">
        <v>11</v>
      </c>
      <c r="L32" s="7">
        <f>L29*L31</f>
        <v>61710</v>
      </c>
    </row>
    <row r="33" spans="3:12" ht="15.75" customHeight="1">
      <c r="C33" t="s">
        <v>143</v>
      </c>
      <c r="D33" s="1">
        <f>D15</f>
        <v>9.0896E-4</v>
      </c>
      <c r="G33" t="s">
        <v>143</v>
      </c>
      <c r="H33" s="1">
        <f>H15/1000</f>
        <v>5.5920420000000002E-3</v>
      </c>
      <c r="K33" t="s">
        <v>143</v>
      </c>
      <c r="L33" s="1">
        <f>L15/1000</f>
        <v>1.1842200000000001E-2</v>
      </c>
    </row>
    <row r="34" spans="3:12" ht="15.75" customHeight="1">
      <c r="C34" s="8" t="s">
        <v>13</v>
      </c>
      <c r="D34" s="7">
        <f>D29*D33</f>
        <v>59.045132639999999</v>
      </c>
      <c r="G34" s="8" t="s">
        <v>13</v>
      </c>
      <c r="H34" s="7">
        <f>H29*H33</f>
        <v>55.098389826000002</v>
      </c>
      <c r="K34" s="8" t="s">
        <v>13</v>
      </c>
      <c r="L34" s="7">
        <f>L29*L33</f>
        <v>39.079260000000005</v>
      </c>
    </row>
    <row r="35" spans="3:12" ht="15.75" customHeight="1"/>
    <row r="36" spans="3:12" ht="15.75" customHeight="1">
      <c r="C36" s="1" t="s">
        <v>16</v>
      </c>
      <c r="D36" s="1">
        <f>D39/D27</f>
        <v>1</v>
      </c>
      <c r="G36" s="1" t="s">
        <v>16</v>
      </c>
      <c r="H36" s="1">
        <f>H39/H27</f>
        <v>1</v>
      </c>
      <c r="K36" s="1" t="s">
        <v>16</v>
      </c>
      <c r="L36" s="1">
        <f>L39/L27</f>
        <v>1</v>
      </c>
    </row>
    <row r="37" spans="3:12" ht="15.75" customHeight="1">
      <c r="C37" s="1" t="s">
        <v>17</v>
      </c>
      <c r="D37" s="17">
        <f>D40/D27</f>
        <v>1.9736842105263159</v>
      </c>
      <c r="G37" s="1" t="s">
        <v>17</v>
      </c>
      <c r="H37" s="17">
        <f>H40/H27</f>
        <v>1</v>
      </c>
      <c r="K37" s="1" t="s">
        <v>17</v>
      </c>
      <c r="L37" s="17">
        <f>L40/L27</f>
        <v>1</v>
      </c>
    </row>
    <row r="38" spans="3:12" ht="15.75" customHeight="1">
      <c r="C38" s="1" t="s">
        <v>18</v>
      </c>
      <c r="D38" s="17">
        <f>D41/D27</f>
        <v>7.2368421052631584</v>
      </c>
      <c r="G38" s="1" t="s">
        <v>18</v>
      </c>
      <c r="H38" s="17">
        <f>H41/H27</f>
        <v>2.8</v>
      </c>
      <c r="K38" s="1" t="s">
        <v>18</v>
      </c>
      <c r="L38" s="17">
        <f>L41/L27</f>
        <v>3</v>
      </c>
    </row>
    <row r="39" spans="3:12" ht="15.75" customHeight="1">
      <c r="C39" s="26" t="s">
        <v>14</v>
      </c>
      <c r="D39" s="1">
        <v>7.6</v>
      </c>
      <c r="G39" s="26" t="s">
        <v>14</v>
      </c>
      <c r="H39" s="1">
        <v>50</v>
      </c>
      <c r="K39" s="26" t="s">
        <v>14</v>
      </c>
      <c r="L39" s="1">
        <v>50</v>
      </c>
    </row>
    <row r="40" spans="3:12" ht="15.75" customHeight="1">
      <c r="C40" s="26" t="s">
        <v>15</v>
      </c>
      <c r="D40" s="1">
        <v>15</v>
      </c>
      <c r="G40" s="26" t="s">
        <v>15</v>
      </c>
      <c r="H40" s="1">
        <v>50</v>
      </c>
      <c r="K40" s="26" t="s">
        <v>15</v>
      </c>
      <c r="L40" s="1">
        <v>50</v>
      </c>
    </row>
    <row r="41" spans="3:12" ht="15.75" customHeight="1">
      <c r="C41" s="26" t="s">
        <v>87</v>
      </c>
      <c r="D41" s="1">
        <v>55</v>
      </c>
      <c r="G41" s="26" t="s">
        <v>87</v>
      </c>
      <c r="H41" s="1">
        <v>140</v>
      </c>
      <c r="K41" s="26" t="s">
        <v>87</v>
      </c>
      <c r="L41" s="1">
        <v>150</v>
      </c>
    </row>
    <row r="42" spans="3:12" ht="15.75" customHeight="1">
      <c r="C42" s="8" t="s">
        <v>19</v>
      </c>
      <c r="D42" s="80">
        <f>D41</f>
        <v>55</v>
      </c>
      <c r="G42" s="8" t="s">
        <v>19</v>
      </c>
      <c r="H42" s="80">
        <f>H41</f>
        <v>140</v>
      </c>
      <c r="K42" s="8" t="s">
        <v>19</v>
      </c>
      <c r="L42" s="80">
        <f>L41</f>
        <v>150</v>
      </c>
    </row>
    <row r="43" spans="3:12" ht="15.75" customHeight="1">
      <c r="C43" s="8" t="s">
        <v>20</v>
      </c>
      <c r="D43" s="80">
        <f>D42*D26</f>
        <v>60555</v>
      </c>
      <c r="G43" s="8" t="s">
        <v>20</v>
      </c>
      <c r="H43" s="80">
        <f>H42*H26</f>
        <v>23380</v>
      </c>
      <c r="K43" s="8" t="s">
        <v>20</v>
      </c>
      <c r="L43" s="80">
        <f>L42*L26</f>
        <v>24750</v>
      </c>
    </row>
    <row r="44" spans="3:12" ht="15.75" customHeight="1">
      <c r="C44" s="8" t="s">
        <v>71</v>
      </c>
      <c r="D44" s="80">
        <f>D43*D20/1000</f>
        <v>45416.25</v>
      </c>
      <c r="G44" s="8" t="s">
        <v>71</v>
      </c>
      <c r="H44" s="80">
        <f>H43*H20/1000</f>
        <v>17535</v>
      </c>
      <c r="K44" s="8" t="s">
        <v>71</v>
      </c>
      <c r="L44" s="80">
        <f>L43*L20/1000</f>
        <v>18562.5</v>
      </c>
    </row>
    <row r="45" spans="3:12" ht="15.75" customHeight="1">
      <c r="C45" s="8" t="s">
        <v>21</v>
      </c>
      <c r="D45" s="1">
        <f>D39</f>
        <v>7.6</v>
      </c>
      <c r="G45" s="8" t="s">
        <v>21</v>
      </c>
      <c r="H45" s="1">
        <f>H39</f>
        <v>50</v>
      </c>
      <c r="K45" s="8" t="s">
        <v>21</v>
      </c>
      <c r="L45" s="1">
        <f>L39</f>
        <v>50</v>
      </c>
    </row>
    <row r="46" spans="3:12" ht="15.75" customHeight="1">
      <c r="C46" s="8" t="s">
        <v>22</v>
      </c>
      <c r="D46" s="1">
        <f>D45*D26</f>
        <v>8367.6</v>
      </c>
      <c r="G46" s="8" t="s">
        <v>22</v>
      </c>
      <c r="H46" s="1">
        <f>H45*H26</f>
        <v>8350</v>
      </c>
      <c r="K46" s="8" t="s">
        <v>22</v>
      </c>
      <c r="L46" s="1">
        <f>L45*L26</f>
        <v>8250</v>
      </c>
    </row>
    <row r="47" spans="3:12" ht="15.75" customHeight="1">
      <c r="C47" s="8" t="s">
        <v>23</v>
      </c>
      <c r="D47" s="1">
        <f>D46*D20/1000</f>
        <v>6275.7</v>
      </c>
      <c r="G47" s="8" t="s">
        <v>23</v>
      </c>
      <c r="H47" s="1">
        <f>H46*H20/1000</f>
        <v>6262.5</v>
      </c>
      <c r="K47" s="8" t="s">
        <v>23</v>
      </c>
      <c r="L47" s="1">
        <f>L46*L20/1000</f>
        <v>6187.5</v>
      </c>
    </row>
    <row r="48" spans="3:12" ht="15.75" customHeight="1">
      <c r="C48" s="8" t="s">
        <v>24</v>
      </c>
      <c r="D48" s="80">
        <f>D40</f>
        <v>15</v>
      </c>
      <c r="G48" s="8" t="s">
        <v>24</v>
      </c>
      <c r="H48" s="80">
        <f>H40</f>
        <v>50</v>
      </c>
      <c r="K48" s="8" t="s">
        <v>24</v>
      </c>
      <c r="L48" s="80">
        <f>L40</f>
        <v>50</v>
      </c>
    </row>
    <row r="49" spans="3:12" ht="15.75" customHeight="1">
      <c r="C49" s="8" t="s">
        <v>25</v>
      </c>
      <c r="D49" s="80">
        <f>D48*D26</f>
        <v>16515</v>
      </c>
      <c r="G49" s="8" t="s">
        <v>25</v>
      </c>
      <c r="H49" s="80">
        <f>H48*H26</f>
        <v>8350</v>
      </c>
      <c r="K49" s="8" t="s">
        <v>25</v>
      </c>
      <c r="L49" s="80">
        <f>L48*L26</f>
        <v>8250</v>
      </c>
    </row>
    <row r="50" spans="3:12" ht="15.75" customHeight="1">
      <c r="C50" s="8" t="s">
        <v>73</v>
      </c>
      <c r="D50" s="80">
        <f>D49*D20/1000</f>
        <v>12386.25</v>
      </c>
      <c r="G50" s="8" t="s">
        <v>73</v>
      </c>
      <c r="H50" s="80">
        <f>H49*H20/1000</f>
        <v>6262.5</v>
      </c>
      <c r="K50" s="8" t="s">
        <v>73</v>
      </c>
      <c r="L50" s="80">
        <f>L49*L20/1000</f>
        <v>6187.5</v>
      </c>
    </row>
    <row r="51" spans="3:12" ht="15.75" customHeight="1"/>
    <row r="52" spans="3:12" ht="15.75" customHeight="1"/>
    <row r="53" spans="3:12" ht="15.75" customHeight="1"/>
    <row r="54" spans="3:12" ht="15.75" customHeight="1"/>
    <row r="55" spans="3:12" ht="15.75" customHeight="1"/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T2:X2"/>
    <mergeCell ref="O11:P11"/>
    <mergeCell ref="O20:P20"/>
    <mergeCell ref="O24:P24"/>
    <mergeCell ref="O28:P28"/>
  </mergeCells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X1000"/>
  <sheetViews>
    <sheetView topLeftCell="B9" workbookViewId="0">
      <selection activeCell="D25" sqref="D25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6" width="11.42578125" customWidth="1"/>
    <col min="7" max="7" width="59" customWidth="1"/>
    <col min="8" max="8" width="14.5703125" customWidth="1"/>
    <col min="9" max="10" width="11.42578125" customWidth="1"/>
    <col min="11" max="11" width="59" customWidth="1"/>
    <col min="12" max="12" width="24.5703125" customWidth="1"/>
    <col min="13" max="14" width="11.42578125" customWidth="1"/>
    <col min="15" max="15" width="22.5703125" customWidth="1"/>
    <col min="16" max="17" width="11.85546875" customWidth="1"/>
    <col min="18" max="18" width="16.7109375" customWidth="1"/>
    <col min="19" max="19" width="11.42578125" customWidth="1"/>
    <col min="20" max="20" width="21.42578125" customWidth="1"/>
    <col min="21" max="22" width="11.42578125" customWidth="1"/>
    <col min="23" max="23" width="12.28515625" customWidth="1"/>
    <col min="24" max="24" width="14.7109375" customWidth="1"/>
    <col min="25" max="32" width="11.42578125" customWidth="1"/>
  </cols>
  <sheetData>
    <row r="2" spans="3:24" ht="15.75">
      <c r="T2" s="93"/>
      <c r="U2" s="94"/>
      <c r="V2" s="94"/>
      <c r="W2" s="94"/>
      <c r="X2" s="94"/>
    </row>
    <row r="3" spans="3:24">
      <c r="C3" s="4" t="s">
        <v>27</v>
      </c>
      <c r="D3" s="4" t="s">
        <v>89</v>
      </c>
      <c r="G3" s="4" t="s">
        <v>27</v>
      </c>
      <c r="H3" s="4" t="s">
        <v>90</v>
      </c>
      <c r="K3" s="4" t="s">
        <v>27</v>
      </c>
      <c r="L3" s="4" t="s">
        <v>91</v>
      </c>
      <c r="O3" s="10"/>
      <c r="P3" s="11"/>
      <c r="Q3" s="11"/>
      <c r="R3" s="11"/>
      <c r="T3" s="10"/>
      <c r="U3" s="11"/>
      <c r="V3" s="11"/>
      <c r="W3" s="11"/>
      <c r="X3" s="12"/>
    </row>
    <row r="4" spans="3:24">
      <c r="C4" s="4" t="s">
        <v>35</v>
      </c>
      <c r="D4" s="4" t="s">
        <v>95</v>
      </c>
      <c r="G4" s="4" t="s">
        <v>35</v>
      </c>
      <c r="H4" s="4" t="s">
        <v>95</v>
      </c>
      <c r="K4" s="4" t="s">
        <v>35</v>
      </c>
      <c r="L4" s="4" t="s">
        <v>96</v>
      </c>
      <c r="O4" s="10"/>
      <c r="P4" s="2"/>
      <c r="Q4" s="2"/>
      <c r="R4" s="2"/>
      <c r="T4" s="10"/>
      <c r="U4" s="2"/>
      <c r="V4" s="2"/>
      <c r="W4" s="2"/>
      <c r="X4" s="13"/>
    </row>
    <row r="5" spans="3:24">
      <c r="C5" s="2" t="s">
        <v>37</v>
      </c>
      <c r="D5" s="2" t="s">
        <v>97</v>
      </c>
      <c r="G5" s="2" t="s">
        <v>37</v>
      </c>
      <c r="H5" s="2" t="s">
        <v>97</v>
      </c>
      <c r="K5" s="2" t="s">
        <v>37</v>
      </c>
      <c r="L5" s="2" t="s">
        <v>98</v>
      </c>
      <c r="O5" s="10"/>
      <c r="P5" s="14"/>
      <c r="Q5" s="14"/>
      <c r="R5" s="14"/>
      <c r="T5" s="2"/>
      <c r="U5" s="2"/>
      <c r="V5" s="2"/>
      <c r="W5" s="2"/>
      <c r="X5" s="13"/>
    </row>
    <row r="6" spans="3:24">
      <c r="K6" s="1" t="s">
        <v>86</v>
      </c>
      <c r="L6" s="6">
        <f>L11/L15</f>
        <v>212.89060040345305</v>
      </c>
      <c r="O6" s="10"/>
      <c r="P6" s="15"/>
      <c r="Q6" s="15"/>
      <c r="R6" s="15"/>
      <c r="T6" s="10"/>
      <c r="U6" s="14"/>
      <c r="V6" s="14"/>
      <c r="W6" s="14"/>
      <c r="X6" s="13"/>
    </row>
    <row r="7" spans="3:24">
      <c r="C7" s="1" t="s">
        <v>86</v>
      </c>
      <c r="D7" s="1">
        <v>73</v>
      </c>
      <c r="G7" s="1" t="s">
        <v>86</v>
      </c>
      <c r="H7" s="1">
        <v>58</v>
      </c>
      <c r="K7" s="1" t="s">
        <v>41</v>
      </c>
      <c r="L7" s="17">
        <f>L11/L8</f>
        <v>78.260869565217391</v>
      </c>
      <c r="O7" s="10"/>
      <c r="P7" s="2"/>
      <c r="Q7" s="2"/>
      <c r="R7" s="2"/>
      <c r="T7" s="10"/>
      <c r="U7" s="15"/>
      <c r="V7" s="15"/>
      <c r="W7" s="15"/>
      <c r="X7" s="13"/>
    </row>
    <row r="8" spans="3:24">
      <c r="C8" s="1" t="s">
        <v>85</v>
      </c>
      <c r="D8" s="1">
        <v>0.09</v>
      </c>
      <c r="G8" s="1" t="s">
        <v>99</v>
      </c>
      <c r="H8" s="1">
        <v>1.1999999999999999E-3</v>
      </c>
      <c r="K8" s="1" t="s">
        <v>85</v>
      </c>
      <c r="L8" s="1">
        <v>4.5999999999999999E-2</v>
      </c>
      <c r="O8" s="10"/>
      <c r="P8" s="2"/>
      <c r="Q8" s="2"/>
      <c r="R8" s="2"/>
      <c r="T8" s="10"/>
      <c r="U8" s="2"/>
      <c r="V8" s="2"/>
      <c r="W8" s="2"/>
      <c r="X8" s="13"/>
    </row>
    <row r="9" spans="3:24">
      <c r="C9" s="1" t="s">
        <v>41</v>
      </c>
      <c r="D9" s="6">
        <f>D10/D8</f>
        <v>4</v>
      </c>
      <c r="G9" s="1" t="s">
        <v>100</v>
      </c>
      <c r="H9" s="6">
        <f>H10/H8</f>
        <v>28.000000000000007</v>
      </c>
    </row>
    <row r="10" spans="3:24">
      <c r="C10" s="1" t="s">
        <v>49</v>
      </c>
      <c r="D10" s="6">
        <v>0.36</v>
      </c>
      <c r="G10" s="1" t="s">
        <v>49</v>
      </c>
      <c r="H10" s="6">
        <f>2.4*14*0.001</f>
        <v>3.3600000000000005E-2</v>
      </c>
    </row>
    <row r="11" spans="3:24">
      <c r="K11" s="1" t="s">
        <v>49</v>
      </c>
      <c r="L11" s="1">
        <v>3.6</v>
      </c>
    </row>
    <row r="12" spans="3:24">
      <c r="C12" s="1" t="s">
        <v>101</v>
      </c>
      <c r="D12" s="1">
        <v>12.5</v>
      </c>
      <c r="G12" s="1" t="s">
        <v>101</v>
      </c>
      <c r="H12" s="1">
        <v>8</v>
      </c>
      <c r="K12" s="1" t="s">
        <v>102</v>
      </c>
      <c r="L12" s="1">
        <f>18.2/2</f>
        <v>9.1</v>
      </c>
    </row>
    <row r="13" spans="3:24">
      <c r="C13" s="1" t="s">
        <v>103</v>
      </c>
      <c r="D13" s="1">
        <v>40</v>
      </c>
      <c r="G13" s="1" t="s">
        <v>103</v>
      </c>
      <c r="H13" s="1">
        <v>11.5</v>
      </c>
      <c r="K13" s="1" t="s">
        <v>103</v>
      </c>
      <c r="L13" s="1">
        <v>65</v>
      </c>
    </row>
    <row r="15" spans="3:24">
      <c r="C15" s="1" t="s">
        <v>58</v>
      </c>
      <c r="D15" s="25">
        <f>PI()*(D12^2)*D13/1000000</f>
        <v>1.963495408493621E-2</v>
      </c>
      <c r="G15" s="1" t="s">
        <v>58</v>
      </c>
      <c r="H15" s="25">
        <f>PI()*(H12^2)*H13/1000000</f>
        <v>2.3122121930420876E-3</v>
      </c>
      <c r="K15" s="1" t="s">
        <v>58</v>
      </c>
      <c r="L15" s="27">
        <f>PI()*(L12^2)*L13/1000000</f>
        <v>1.69100936968451E-2</v>
      </c>
    </row>
    <row r="19" spans="3:12">
      <c r="C19" s="1" t="s">
        <v>27</v>
      </c>
      <c r="G19" s="1" t="s">
        <v>27</v>
      </c>
      <c r="K19" s="1" t="s">
        <v>27</v>
      </c>
    </row>
    <row r="20" spans="3:12">
      <c r="C20" s="76" t="s">
        <v>0</v>
      </c>
      <c r="D20" s="76">
        <v>750</v>
      </c>
      <c r="G20" s="76" t="s">
        <v>0</v>
      </c>
      <c r="H20" s="76">
        <v>750</v>
      </c>
      <c r="K20" s="75" t="s">
        <v>0</v>
      </c>
      <c r="L20" s="76">
        <v>750</v>
      </c>
    </row>
    <row r="21" spans="3:12" ht="15.75" customHeight="1">
      <c r="C21" s="1" t="s">
        <v>1</v>
      </c>
      <c r="D21" s="78">
        <f>2.4</f>
        <v>2.4</v>
      </c>
      <c r="G21" s="1" t="s">
        <v>1</v>
      </c>
      <c r="H21" s="78">
        <f>2.4</f>
        <v>2.4</v>
      </c>
      <c r="K21" s="1" t="s">
        <v>1</v>
      </c>
      <c r="L21" s="78">
        <f>2.3</f>
        <v>2.2999999999999998</v>
      </c>
    </row>
    <row r="22" spans="3:12" ht="15.75" customHeight="1">
      <c r="C22" s="8" t="s">
        <v>2</v>
      </c>
      <c r="D22" s="1">
        <f>ROUNDUP(D20/D21,0)</f>
        <v>313</v>
      </c>
      <c r="G22" s="8" t="s">
        <v>2</v>
      </c>
      <c r="H22" s="1">
        <f>ROUNDUP(H20/H21,0)</f>
        <v>313</v>
      </c>
      <c r="K22" s="8" t="s">
        <v>141</v>
      </c>
      <c r="L22" s="1">
        <f>ROUNDUP(L20/L21,0)</f>
        <v>327</v>
      </c>
    </row>
    <row r="23" spans="3:12" ht="15.75" customHeight="1">
      <c r="C23" s="1" t="s">
        <v>3</v>
      </c>
      <c r="D23" s="79">
        <f>D10</f>
        <v>0.36</v>
      </c>
      <c r="G23" s="1" t="s">
        <v>3</v>
      </c>
      <c r="H23" s="79">
        <f>H10</f>
        <v>3.3600000000000005E-2</v>
      </c>
      <c r="K23" s="1" t="s">
        <v>3</v>
      </c>
      <c r="L23" s="78">
        <f>L11</f>
        <v>3.6</v>
      </c>
    </row>
    <row r="24" spans="3:12" ht="15.75" customHeight="1">
      <c r="C24" s="8" t="s">
        <v>4</v>
      </c>
      <c r="D24" s="17">
        <f>D23*D22</f>
        <v>112.67999999999999</v>
      </c>
      <c r="G24" s="8" t="s">
        <v>4</v>
      </c>
      <c r="H24" s="6">
        <f>H23*H22</f>
        <v>10.516800000000002</v>
      </c>
      <c r="K24" s="8" t="s">
        <v>4</v>
      </c>
      <c r="L24" s="1">
        <f>L23*L22</f>
        <v>1177.2</v>
      </c>
    </row>
    <row r="25" spans="3:12" ht="15.75" customHeight="1">
      <c r="C25" s="75" t="s">
        <v>5</v>
      </c>
      <c r="D25" s="75">
        <v>6300000</v>
      </c>
      <c r="G25" s="75" t="s">
        <v>5</v>
      </c>
      <c r="H25" s="75">
        <v>6300000</v>
      </c>
      <c r="K25" s="75" t="s">
        <v>5</v>
      </c>
      <c r="L25" s="75">
        <v>6300000</v>
      </c>
    </row>
    <row r="26" spans="3:12" ht="15.75" customHeight="1">
      <c r="C26" s="8" t="s">
        <v>6</v>
      </c>
      <c r="D26" s="1">
        <f>ROUNDUP(D25/D24,0)</f>
        <v>55911</v>
      </c>
      <c r="G26" s="8" t="s">
        <v>6</v>
      </c>
      <c r="H26" s="1">
        <f>ROUNDUP(H25/H24,0)</f>
        <v>599042</v>
      </c>
      <c r="K26" s="8" t="s">
        <v>6</v>
      </c>
      <c r="L26" s="1">
        <f>ROUNDUP(L25/L24,0)</f>
        <v>5352</v>
      </c>
    </row>
    <row r="27" spans="3:12" ht="15.75" customHeight="1">
      <c r="C27" s="1" t="s">
        <v>7</v>
      </c>
      <c r="D27">
        <f>0.15</f>
        <v>0.15</v>
      </c>
      <c r="G27" s="1" t="s">
        <v>7</v>
      </c>
      <c r="H27" s="1">
        <f>0.014</f>
        <v>1.4E-2</v>
      </c>
      <c r="K27" s="1" t="s">
        <v>7</v>
      </c>
      <c r="L27" s="1">
        <v>1.5</v>
      </c>
    </row>
    <row r="28" spans="3:12" ht="15.75" customHeight="1">
      <c r="C28" s="8" t="s">
        <v>8</v>
      </c>
      <c r="D28" s="1">
        <f>D27*D26</f>
        <v>8386.65</v>
      </c>
      <c r="G28" s="8" t="s">
        <v>8</v>
      </c>
      <c r="H28" s="1">
        <f>H27*H26</f>
        <v>8386.5879999999997</v>
      </c>
      <c r="K28" s="8" t="s">
        <v>8</v>
      </c>
      <c r="L28" s="1">
        <f>L27*L26</f>
        <v>8028</v>
      </c>
    </row>
    <row r="29" spans="3:12" ht="15.75" customHeight="1">
      <c r="C29" s="9" t="s">
        <v>9</v>
      </c>
      <c r="D29" s="1">
        <f>D22*D26</f>
        <v>17500143</v>
      </c>
      <c r="G29" s="9" t="s">
        <v>9</v>
      </c>
      <c r="H29" s="1">
        <f>H22*H26</f>
        <v>187500146</v>
      </c>
      <c r="K29" s="9" t="s">
        <v>142</v>
      </c>
      <c r="L29" s="1">
        <f>L22*L26</f>
        <v>1750104</v>
      </c>
    </row>
    <row r="30" spans="3:12" ht="15.75" customHeight="1"/>
    <row r="31" spans="3:12" ht="15.75" customHeight="1">
      <c r="C31" s="1" t="s">
        <v>10</v>
      </c>
      <c r="D31" s="1">
        <f>D8</f>
        <v>0.09</v>
      </c>
      <c r="G31" s="1" t="s">
        <v>10</v>
      </c>
      <c r="H31" s="1">
        <v>1.1999999999999999E-3</v>
      </c>
      <c r="K31" t="s">
        <v>10</v>
      </c>
      <c r="L31" s="1">
        <f>L8</f>
        <v>4.5999999999999999E-2</v>
      </c>
    </row>
    <row r="32" spans="3:12" ht="15.75" customHeight="1">
      <c r="C32" s="8" t="s">
        <v>11</v>
      </c>
      <c r="D32" s="17">
        <f>D29*D31</f>
        <v>1575012.8699999999</v>
      </c>
      <c r="G32" s="8" t="s">
        <v>11</v>
      </c>
      <c r="H32" s="17">
        <f>H29*H31</f>
        <v>225000.17519999997</v>
      </c>
      <c r="K32" s="8" t="s">
        <v>11</v>
      </c>
      <c r="L32" s="1">
        <f>L29*L31</f>
        <v>80504.784</v>
      </c>
    </row>
    <row r="33" spans="3:13" ht="15.75" customHeight="1">
      <c r="C33" s="1" t="s">
        <v>12</v>
      </c>
      <c r="D33" s="28">
        <f>10*D15/1000</f>
        <v>1.9634954084936211E-4</v>
      </c>
      <c r="G33" s="1" t="s">
        <v>12</v>
      </c>
      <c r="H33" s="1">
        <f>H15/1000</f>
        <v>2.3122121930420875E-6</v>
      </c>
      <c r="K33" t="s">
        <v>143</v>
      </c>
      <c r="L33" s="29">
        <f>L15/1000</f>
        <v>1.6910093696845098E-5</v>
      </c>
    </row>
    <row r="34" spans="3:13" ht="15.75" customHeight="1">
      <c r="C34" s="8" t="s">
        <v>13</v>
      </c>
      <c r="D34" s="6">
        <f>D29*D33</f>
        <v>3436.1450428481785</v>
      </c>
      <c r="G34" s="8" t="s">
        <v>13</v>
      </c>
      <c r="H34" s="15">
        <f>H29*H33</f>
        <v>433.54012377837159</v>
      </c>
      <c r="K34" s="8" t="s">
        <v>13</v>
      </c>
      <c r="L34" s="1">
        <f>L29*L33</f>
        <v>29.594422619223394</v>
      </c>
    </row>
    <row r="35" spans="3:13" ht="15.75" customHeight="1"/>
    <row r="36" spans="3:13" ht="15.75" customHeight="1">
      <c r="C36" s="8" t="s">
        <v>16</v>
      </c>
      <c r="D36" s="1">
        <f>D39/D27</f>
        <v>1</v>
      </c>
      <c r="G36" s="8" t="s">
        <v>16</v>
      </c>
      <c r="H36" s="1">
        <f>H39/H27</f>
        <v>1</v>
      </c>
      <c r="K36" s="1" t="s">
        <v>16</v>
      </c>
      <c r="L36" s="1">
        <f>L39/L27</f>
        <v>2</v>
      </c>
    </row>
    <row r="37" spans="3:13" ht="15.75" customHeight="1">
      <c r="C37" s="8" t="s">
        <v>17</v>
      </c>
      <c r="D37" s="17">
        <f>D40/D27</f>
        <v>1</v>
      </c>
      <c r="G37" s="8" t="s">
        <v>17</v>
      </c>
      <c r="H37" s="3">
        <f>H40/H27</f>
        <v>0.5</v>
      </c>
      <c r="K37" s="1" t="s">
        <v>17</v>
      </c>
      <c r="L37" s="17">
        <f>L40/L27</f>
        <v>1</v>
      </c>
    </row>
    <row r="38" spans="3:13" ht="15.75" customHeight="1">
      <c r="C38" s="8" t="s">
        <v>18</v>
      </c>
      <c r="D38" s="17">
        <f>D41/D27</f>
        <v>20</v>
      </c>
      <c r="G38" s="8" t="s">
        <v>18</v>
      </c>
      <c r="H38" s="17">
        <f>H41/H27</f>
        <v>20</v>
      </c>
      <c r="K38" s="1" t="s">
        <v>18</v>
      </c>
      <c r="L38" s="17">
        <f>L41/L27</f>
        <v>8</v>
      </c>
    </row>
    <row r="39" spans="3:13" ht="15.75" customHeight="1">
      <c r="C39" s="1" t="s">
        <v>14</v>
      </c>
      <c r="D39" s="1">
        <f>0.15</f>
        <v>0.15</v>
      </c>
      <c r="G39" s="1" t="s">
        <v>14</v>
      </c>
      <c r="H39" s="1">
        <f>0.014</f>
        <v>1.4E-2</v>
      </c>
      <c r="K39" s="26" t="s">
        <v>14</v>
      </c>
      <c r="L39" s="1">
        <f>3</f>
        <v>3</v>
      </c>
    </row>
    <row r="40" spans="3:13" ht="15.75" customHeight="1">
      <c r="C40" s="1" t="s">
        <v>15</v>
      </c>
      <c r="D40" s="1">
        <f>0.15</f>
        <v>0.15</v>
      </c>
      <c r="G40" s="1" t="s">
        <v>15</v>
      </c>
      <c r="H40" s="1">
        <f>0.007</f>
        <v>7.0000000000000001E-3</v>
      </c>
      <c r="K40" s="26" t="s">
        <v>15</v>
      </c>
      <c r="L40" s="1">
        <f>1.5</f>
        <v>1.5</v>
      </c>
    </row>
    <row r="41" spans="3:13" ht="15.75" customHeight="1">
      <c r="C41" s="1" t="s">
        <v>70</v>
      </c>
      <c r="D41" s="1">
        <f>3</f>
        <v>3</v>
      </c>
      <c r="G41" s="1" t="s">
        <v>70</v>
      </c>
      <c r="H41" s="1">
        <f>0.28</f>
        <v>0.28000000000000003</v>
      </c>
      <c r="K41" s="26" t="s">
        <v>87</v>
      </c>
      <c r="L41" s="1">
        <f>12</f>
        <v>12</v>
      </c>
    </row>
    <row r="42" spans="3:13" ht="15.75" customHeight="1">
      <c r="C42" s="8" t="s">
        <v>19</v>
      </c>
      <c r="D42" s="80">
        <f>D41</f>
        <v>3</v>
      </c>
      <c r="G42" s="8" t="s">
        <v>19</v>
      </c>
      <c r="H42" s="80">
        <f>H41</f>
        <v>0.28000000000000003</v>
      </c>
      <c r="K42" s="8" t="s">
        <v>19</v>
      </c>
      <c r="L42" s="80">
        <f>L41</f>
        <v>12</v>
      </c>
    </row>
    <row r="43" spans="3:13" ht="15.75" customHeight="1">
      <c r="C43" s="8" t="s">
        <v>20</v>
      </c>
      <c r="D43" s="80">
        <f>D42*D26</f>
        <v>167733</v>
      </c>
      <c r="E43">
        <f>D43/1000</f>
        <v>167.733</v>
      </c>
      <c r="G43" s="8" t="s">
        <v>20</v>
      </c>
      <c r="H43" s="80">
        <f>H42*H26</f>
        <v>167731.76</v>
      </c>
      <c r="I43">
        <f>H43/1000</f>
        <v>167.73176000000001</v>
      </c>
      <c r="K43" s="8" t="s">
        <v>20</v>
      </c>
      <c r="L43" s="80">
        <f>L42*L26</f>
        <v>64224</v>
      </c>
      <c r="M43">
        <f>L43/1000</f>
        <v>64.224000000000004</v>
      </c>
    </row>
    <row r="44" spans="3:13" ht="15.75" customHeight="1">
      <c r="C44" s="8" t="s">
        <v>71</v>
      </c>
      <c r="D44" s="80">
        <f>D43*D20/1000</f>
        <v>125799.75</v>
      </c>
      <c r="E44">
        <f>D44/1000</f>
        <v>125.79975</v>
      </c>
      <c r="G44" s="8" t="s">
        <v>71</v>
      </c>
      <c r="H44" s="80">
        <f>H43*H20/1000</f>
        <v>125798.82</v>
      </c>
      <c r="I44">
        <f>H44/1000</f>
        <v>125.79882000000001</v>
      </c>
      <c r="K44" s="8" t="s">
        <v>71</v>
      </c>
      <c r="L44" s="80">
        <f>L43*L20/1000</f>
        <v>48168</v>
      </c>
      <c r="M44">
        <f>L44/1000</f>
        <v>48.167999999999999</v>
      </c>
    </row>
    <row r="45" spans="3:13" ht="15.75" customHeight="1">
      <c r="C45" s="8" t="s">
        <v>21</v>
      </c>
      <c r="D45" s="1">
        <f>D39</f>
        <v>0.15</v>
      </c>
      <c r="G45" s="8" t="s">
        <v>21</v>
      </c>
      <c r="H45" s="1">
        <f>H39</f>
        <v>1.4E-2</v>
      </c>
      <c r="K45" s="8" t="s">
        <v>21</v>
      </c>
      <c r="L45" s="1">
        <f>L39</f>
        <v>3</v>
      </c>
    </row>
    <row r="46" spans="3:13" ht="15.75" customHeight="1">
      <c r="C46" s="8" t="s">
        <v>22</v>
      </c>
      <c r="D46" s="1">
        <f>D45*D26</f>
        <v>8386.65</v>
      </c>
      <c r="G46" s="8" t="s">
        <v>22</v>
      </c>
      <c r="H46" s="1">
        <f>H45*H26</f>
        <v>8386.5879999999997</v>
      </c>
      <c r="K46" s="8" t="s">
        <v>22</v>
      </c>
      <c r="L46" s="1">
        <f>L45*L26</f>
        <v>16056</v>
      </c>
    </row>
    <row r="47" spans="3:13" ht="15.75" customHeight="1">
      <c r="C47" s="8" t="s">
        <v>72</v>
      </c>
      <c r="D47" s="1">
        <f>D46*D20/1000</f>
        <v>6289.9875000000002</v>
      </c>
      <c r="G47" s="8" t="s">
        <v>72</v>
      </c>
      <c r="H47" s="1">
        <f>H46*H20/1000</f>
        <v>6289.9409999999998</v>
      </c>
      <c r="K47" s="8" t="s">
        <v>23</v>
      </c>
      <c r="L47" s="1">
        <f>L46*L20/1000</f>
        <v>12042</v>
      </c>
    </row>
    <row r="48" spans="3:13" ht="15.75" customHeight="1">
      <c r="C48" s="8" t="s">
        <v>24</v>
      </c>
      <c r="D48" s="80">
        <f>D40</f>
        <v>0.15</v>
      </c>
      <c r="G48" s="8" t="s">
        <v>24</v>
      </c>
      <c r="H48" s="80">
        <f>H40</f>
        <v>7.0000000000000001E-3</v>
      </c>
      <c r="K48" s="8" t="s">
        <v>24</v>
      </c>
      <c r="L48" s="80">
        <f>L40</f>
        <v>1.5</v>
      </c>
    </row>
    <row r="49" spans="3:13" ht="15.75" customHeight="1">
      <c r="C49" s="8" t="s">
        <v>25</v>
      </c>
      <c r="D49" s="80">
        <f>D48*D26</f>
        <v>8386.65</v>
      </c>
      <c r="E49">
        <f>D49/1000</f>
        <v>8.3866499999999995</v>
      </c>
      <c r="G49" s="8" t="s">
        <v>25</v>
      </c>
      <c r="H49" s="80">
        <f>H48*H26</f>
        <v>4193.2939999999999</v>
      </c>
      <c r="I49">
        <f>H49/1000</f>
        <v>4.1932939999999999</v>
      </c>
      <c r="K49" s="8" t="s">
        <v>25</v>
      </c>
      <c r="L49" s="80">
        <f>L48*L26</f>
        <v>8028</v>
      </c>
      <c r="M49">
        <f>L49/1000</f>
        <v>8.0280000000000005</v>
      </c>
    </row>
    <row r="50" spans="3:13" ht="15.75" customHeight="1">
      <c r="C50" s="8" t="s">
        <v>73</v>
      </c>
      <c r="D50" s="80">
        <f>D49*D20/1000</f>
        <v>6289.9875000000002</v>
      </c>
      <c r="E50">
        <f>D50/1000</f>
        <v>6.2899875000000005</v>
      </c>
      <c r="G50" s="8" t="s">
        <v>73</v>
      </c>
      <c r="H50" s="80">
        <f>H49*H20/1000</f>
        <v>3144.9704999999999</v>
      </c>
      <c r="I50">
        <f>H50/1000</f>
        <v>3.1449704999999999</v>
      </c>
      <c r="K50" s="8" t="s">
        <v>73</v>
      </c>
      <c r="L50" s="80">
        <f>L49*L20/1000</f>
        <v>6021</v>
      </c>
      <c r="M50">
        <f>L50/1000</f>
        <v>6.0209999999999999</v>
      </c>
    </row>
    <row r="51" spans="3:13" ht="15.75" customHeight="1"/>
    <row r="52" spans="3:13" ht="15.75" customHeight="1"/>
    <row r="53" spans="3:13" ht="15.75" customHeight="1"/>
    <row r="54" spans="3:13" ht="15.75" customHeight="1"/>
    <row r="55" spans="3:13" ht="15.75" customHeight="1"/>
    <row r="56" spans="3:13" ht="15.75" customHeight="1"/>
    <row r="57" spans="3:13" ht="15.75" customHeight="1"/>
    <row r="58" spans="3:13" ht="15.75" customHeight="1"/>
    <row r="59" spans="3:13" ht="15.75" customHeight="1"/>
    <row r="60" spans="3:13" ht="15.75" customHeight="1"/>
    <row r="61" spans="3:13" ht="15.75" customHeight="1"/>
    <row r="62" spans="3:13" ht="15.75" customHeight="1"/>
    <row r="63" spans="3:13" ht="15.75" customHeight="1"/>
    <row r="64" spans="3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2:X2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E131-BAC8-4100-B698-F22532ED8919}">
  <dimension ref="C3:AL1000"/>
  <sheetViews>
    <sheetView topLeftCell="AD16" zoomScale="130" zoomScaleNormal="130" workbookViewId="0">
      <selection activeCell="AG10" sqref="AG10"/>
    </sheetView>
  </sheetViews>
  <sheetFormatPr baseColWidth="10" defaultColWidth="12.5703125" defaultRowHeight="15" customHeight="1"/>
  <cols>
    <col min="1" max="2" width="10.5703125" customWidth="1"/>
    <col min="3" max="3" width="25.42578125" customWidth="1"/>
    <col min="4" max="5" width="10.5703125" customWidth="1"/>
    <col min="6" max="6" width="14" customWidth="1"/>
    <col min="7" max="10" width="10.5703125" customWidth="1"/>
    <col min="11" max="11" width="22.7109375" customWidth="1"/>
    <col min="12" max="12" width="14.5703125" customWidth="1"/>
    <col min="13" max="13" width="15.5703125" customWidth="1"/>
    <col min="14" max="14" width="13.5703125" customWidth="1"/>
    <col min="15" max="15" width="14.5703125" customWidth="1"/>
    <col min="16" max="18" width="10.5703125" customWidth="1"/>
    <col min="19" max="19" width="22.7109375" customWidth="1"/>
    <col min="20" max="20" width="10.5703125" bestFit="1" customWidth="1"/>
    <col min="21" max="22" width="12" customWidth="1"/>
    <col min="23" max="23" width="13" customWidth="1"/>
    <col min="24" max="26" width="10.5703125" customWidth="1"/>
    <col min="27" max="27" width="22.7109375" customWidth="1"/>
    <col min="28" max="28" width="8.28515625" customWidth="1"/>
    <col min="29" max="29" width="11.5703125" customWidth="1"/>
    <col min="30" max="30" width="9.7109375" bestFit="1" customWidth="1"/>
    <col min="31" max="31" width="13.28515625" customWidth="1"/>
    <col min="32" max="34" width="10.5703125" customWidth="1"/>
    <col min="35" max="35" width="21.42578125" bestFit="1" customWidth="1"/>
  </cols>
  <sheetData>
    <row r="3" spans="3:38">
      <c r="C3" s="100" t="s">
        <v>77</v>
      </c>
      <c r="D3" s="101"/>
      <c r="E3" s="101"/>
      <c r="F3" s="101"/>
      <c r="G3" s="102"/>
      <c r="K3" s="100" t="s">
        <v>26</v>
      </c>
      <c r="L3" s="103"/>
      <c r="M3" s="103"/>
      <c r="N3" s="103"/>
      <c r="O3" s="104"/>
      <c r="S3" s="100" t="s">
        <v>88</v>
      </c>
      <c r="T3" s="103"/>
      <c r="U3" s="103"/>
      <c r="V3" s="103"/>
      <c r="W3" s="104"/>
      <c r="AA3" s="100" t="s">
        <v>104</v>
      </c>
      <c r="AB3" s="103"/>
      <c r="AC3" s="103"/>
      <c r="AD3" s="103"/>
      <c r="AE3" s="104"/>
      <c r="AI3" s="99" t="s">
        <v>104</v>
      </c>
      <c r="AJ3" s="99"/>
      <c r="AK3" s="99"/>
      <c r="AL3" s="99"/>
    </row>
    <row r="4" spans="3:38">
      <c r="C4" s="30"/>
      <c r="D4" s="31" t="s">
        <v>80</v>
      </c>
      <c r="E4" s="31" t="s">
        <v>81</v>
      </c>
      <c r="F4" s="31" t="s">
        <v>79</v>
      </c>
      <c r="G4" s="31" t="s">
        <v>83</v>
      </c>
      <c r="K4" s="30"/>
      <c r="L4" s="32" t="s">
        <v>31</v>
      </c>
      <c r="M4" s="32" t="s">
        <v>32</v>
      </c>
      <c r="N4" s="32" t="s">
        <v>33</v>
      </c>
      <c r="O4" s="31" t="s">
        <v>38</v>
      </c>
      <c r="S4" s="32"/>
      <c r="T4" s="32" t="s">
        <v>92</v>
      </c>
      <c r="U4" s="32" t="s">
        <v>93</v>
      </c>
      <c r="V4" s="32" t="s">
        <v>94</v>
      </c>
      <c r="W4" s="31" t="s">
        <v>98</v>
      </c>
      <c r="AA4" s="30"/>
      <c r="AB4" s="31" t="s">
        <v>83</v>
      </c>
      <c r="AC4" s="31" t="s">
        <v>38</v>
      </c>
      <c r="AD4" s="31" t="s">
        <v>98</v>
      </c>
      <c r="AE4" s="31" t="s">
        <v>82</v>
      </c>
      <c r="AG4" s="1"/>
      <c r="AI4" s="87"/>
      <c r="AJ4" s="87" t="s">
        <v>83</v>
      </c>
      <c r="AK4" s="87" t="s">
        <v>38</v>
      </c>
      <c r="AL4" s="87" t="s">
        <v>82</v>
      </c>
    </row>
    <row r="5" spans="3:38">
      <c r="C5" s="30" t="s">
        <v>36</v>
      </c>
      <c r="D5" s="33">
        <v>1000</v>
      </c>
      <c r="E5" s="33">
        <v>1000</v>
      </c>
      <c r="F5" s="81">
        <v>2000</v>
      </c>
      <c r="G5" s="34">
        <f>SUM(D5:F5)/3</f>
        <v>1333.3333333333333</v>
      </c>
      <c r="K5" s="30" t="s">
        <v>36</v>
      </c>
      <c r="L5" s="30">
        <v>1500</v>
      </c>
      <c r="M5" s="30">
        <v>2000</v>
      </c>
      <c r="N5" s="83">
        <v>4000</v>
      </c>
      <c r="O5" s="30">
        <f>(L5+M5+N5)/3</f>
        <v>2500</v>
      </c>
      <c r="S5" s="30" t="s">
        <v>36</v>
      </c>
      <c r="T5" s="84">
        <v>20000</v>
      </c>
      <c r="U5" s="34">
        <v>10000</v>
      </c>
      <c r="V5" s="34">
        <v>10000</v>
      </c>
      <c r="W5" s="34">
        <f>SUM(T5:V5)/3</f>
        <v>13333.333333333334</v>
      </c>
      <c r="AA5" s="30" t="s">
        <v>36</v>
      </c>
      <c r="AB5" s="34">
        <f>G5</f>
        <v>1333.3333333333333</v>
      </c>
      <c r="AC5" s="30">
        <f>O5</f>
        <v>2500</v>
      </c>
      <c r="AD5" s="84">
        <f>W5</f>
        <v>13333.333333333334</v>
      </c>
      <c r="AE5" s="34">
        <f>SUM(AB5:AD5)/3</f>
        <v>5722.2222222222226</v>
      </c>
      <c r="AG5" s="1"/>
      <c r="AI5" s="87" t="s">
        <v>36</v>
      </c>
      <c r="AJ5" s="87">
        <v>1333</v>
      </c>
      <c r="AK5" s="90">
        <v>2500</v>
      </c>
      <c r="AL5" s="87">
        <f>SUM(AJ5:AK5)/2</f>
        <v>1916.5</v>
      </c>
    </row>
    <row r="6" spans="3:38">
      <c r="C6" s="30" t="s">
        <v>84</v>
      </c>
      <c r="D6" s="81">
        <f>NMC!D29</f>
        <v>52542</v>
      </c>
      <c r="E6" s="33">
        <f>NMC!G29</f>
        <v>17514</v>
      </c>
      <c r="F6" s="33">
        <f>NMC!J29</f>
        <v>14784</v>
      </c>
      <c r="G6" s="34">
        <f t="shared" ref="G6:G9" si="0">SUM(D6:F6)/3</f>
        <v>28280</v>
      </c>
      <c r="K6" s="30" t="s">
        <v>84</v>
      </c>
      <c r="L6" s="83">
        <f>LFP!D29</f>
        <v>64959</v>
      </c>
      <c r="M6" s="30">
        <f>LFP!H29</f>
        <v>9853</v>
      </c>
      <c r="N6" s="30">
        <f>LFP!L29</f>
        <v>3300</v>
      </c>
      <c r="O6" s="34">
        <f t="shared" ref="O6:O9" si="1">(L6+M6+N6)/3</f>
        <v>26037.333333333332</v>
      </c>
      <c r="S6" s="30" t="s">
        <v>84</v>
      </c>
      <c r="T6" s="34">
        <f>LTO!D29</f>
        <v>17500143</v>
      </c>
      <c r="U6" s="84">
        <f>LTO!H29</f>
        <v>187500146</v>
      </c>
      <c r="V6" s="34">
        <f>LTO!L29</f>
        <v>1750104</v>
      </c>
      <c r="W6" s="34">
        <f t="shared" ref="W6:W9" si="2">SUM(T6:V6)/3</f>
        <v>68916797.666666672</v>
      </c>
      <c r="AA6" s="30" t="s">
        <v>84</v>
      </c>
      <c r="AB6" s="34">
        <f t="shared" ref="AB6:AB9" si="3">G6</f>
        <v>28280</v>
      </c>
      <c r="AC6" s="34">
        <f t="shared" ref="AC6:AC9" si="4">O6</f>
        <v>26037.333333333332</v>
      </c>
      <c r="AD6" s="84">
        <f t="shared" ref="AD6:AD9" si="5">W6</f>
        <v>68916797.666666672</v>
      </c>
      <c r="AE6" s="34">
        <f t="shared" ref="AE6:AE9" si="6">SUM(AB6:AD6)/3</f>
        <v>22990371.666666668</v>
      </c>
      <c r="AG6" s="1"/>
      <c r="AI6" s="87" t="s">
        <v>84</v>
      </c>
      <c r="AJ6" s="90">
        <v>28280</v>
      </c>
      <c r="AK6" s="88">
        <v>26037.333333333332</v>
      </c>
      <c r="AL6" s="88">
        <f t="shared" ref="AL6:AL9" si="7">SUM(AJ6:AK6)/2</f>
        <v>27158.666666666664</v>
      </c>
    </row>
    <row r="7" spans="3:38">
      <c r="C7" s="30" t="s">
        <v>85</v>
      </c>
      <c r="D7" s="81">
        <f>NMC!D32</f>
        <v>42033.600000000006</v>
      </c>
      <c r="E7" s="33">
        <f>NMC!G32</f>
        <v>36779.4</v>
      </c>
      <c r="F7" s="33">
        <f>NMC!J32</f>
        <v>7096.32</v>
      </c>
      <c r="G7" s="34">
        <f>SUM(D7:F7)/3</f>
        <v>28636.440000000002</v>
      </c>
      <c r="K7" s="30" t="s">
        <v>85</v>
      </c>
      <c r="L7" s="84">
        <f>LFP!D32</f>
        <v>64959</v>
      </c>
      <c r="M7" s="34">
        <f>LFP!H32</f>
        <v>62073.9</v>
      </c>
      <c r="N7" s="30">
        <f>LFP!L32</f>
        <v>61710</v>
      </c>
      <c r="O7" s="30">
        <f t="shared" si="1"/>
        <v>62914.299999999996</v>
      </c>
      <c r="S7" s="30" t="s">
        <v>85</v>
      </c>
      <c r="T7" s="34">
        <f>LTO!D32</f>
        <v>1575012.8699999999</v>
      </c>
      <c r="U7" s="84">
        <f>LTO!H32</f>
        <v>225000.17519999997</v>
      </c>
      <c r="V7" s="34">
        <f>LTO!L32</f>
        <v>80504.784</v>
      </c>
      <c r="W7" s="34">
        <f t="shared" si="2"/>
        <v>626839.27639999997</v>
      </c>
      <c r="AA7" s="30" t="s">
        <v>85</v>
      </c>
      <c r="AB7" s="34">
        <f t="shared" si="3"/>
        <v>28636.440000000002</v>
      </c>
      <c r="AC7" s="34">
        <f t="shared" si="4"/>
        <v>62914.299999999996</v>
      </c>
      <c r="AD7" s="84">
        <f t="shared" si="5"/>
        <v>626839.27639999997</v>
      </c>
      <c r="AE7" s="34">
        <f t="shared" si="6"/>
        <v>239463.3388</v>
      </c>
      <c r="AG7" s="1"/>
      <c r="AI7" s="87" t="s">
        <v>85</v>
      </c>
      <c r="AJ7" s="88">
        <v>28636.440000000002</v>
      </c>
      <c r="AK7" s="91">
        <v>62914.299999999996</v>
      </c>
      <c r="AL7" s="88">
        <f t="shared" si="7"/>
        <v>45775.369999999995</v>
      </c>
    </row>
    <row r="8" spans="3:38">
      <c r="C8" s="30" t="s">
        <v>57</v>
      </c>
      <c r="D8" s="33">
        <f>NMC!D34</f>
        <v>25.74558</v>
      </c>
      <c r="E8" s="33">
        <f>NMC!G34</f>
        <v>19.738278000000001</v>
      </c>
      <c r="F8" s="81">
        <f>NMC!J34</f>
        <v>28.108819200000003</v>
      </c>
      <c r="G8" s="34">
        <f t="shared" si="0"/>
        <v>24.530892399999999</v>
      </c>
      <c r="K8" s="30" t="s">
        <v>57</v>
      </c>
      <c r="L8" s="85">
        <f>LFP!D34</f>
        <v>59.045132639999999</v>
      </c>
      <c r="M8" s="35">
        <f>LFP!H34</f>
        <v>55.098389826000002</v>
      </c>
      <c r="N8" s="35">
        <f>LFP!L34</f>
        <v>39.079260000000005</v>
      </c>
      <c r="O8" s="35">
        <f t="shared" si="1"/>
        <v>51.074260822000006</v>
      </c>
      <c r="S8" s="30" t="s">
        <v>57</v>
      </c>
      <c r="T8" s="84">
        <f>LTO!D34</f>
        <v>3436.1450428481785</v>
      </c>
      <c r="U8" s="34">
        <f>LTO!H34</f>
        <v>433.54012377837159</v>
      </c>
      <c r="V8" s="34">
        <f>LTO!L34</f>
        <v>29.594422619223394</v>
      </c>
      <c r="W8" s="34">
        <f t="shared" si="2"/>
        <v>1299.7598630819245</v>
      </c>
      <c r="AA8" s="30" t="s">
        <v>57</v>
      </c>
      <c r="AB8" s="34">
        <f t="shared" si="3"/>
        <v>24.530892399999999</v>
      </c>
      <c r="AC8" s="34">
        <f t="shared" si="4"/>
        <v>51.074260822000006</v>
      </c>
      <c r="AD8" s="84">
        <f t="shared" si="5"/>
        <v>1299.7598630819245</v>
      </c>
      <c r="AE8" s="34">
        <f t="shared" si="6"/>
        <v>458.45500543464158</v>
      </c>
      <c r="AG8" s="1"/>
      <c r="AI8" s="87" t="s">
        <v>57</v>
      </c>
      <c r="AJ8" s="88">
        <v>24.530892399999999</v>
      </c>
      <c r="AK8" s="91">
        <v>51.074260822000006</v>
      </c>
      <c r="AL8" s="88">
        <f t="shared" si="7"/>
        <v>37.802576611000006</v>
      </c>
    </row>
    <row r="9" spans="3:38">
      <c r="C9" s="30" t="s">
        <v>42</v>
      </c>
      <c r="D9" s="33">
        <f>NMC!D50</f>
        <v>3127.5</v>
      </c>
      <c r="E9" s="81">
        <f>NMC!G50</f>
        <v>6255</v>
      </c>
      <c r="F9" s="33">
        <f>NMC!J50</f>
        <v>5376</v>
      </c>
      <c r="G9" s="34">
        <f t="shared" si="0"/>
        <v>4919.5</v>
      </c>
      <c r="K9" s="30" t="s">
        <v>42</v>
      </c>
      <c r="L9" s="84">
        <f>LFP!D50</f>
        <v>12386.25</v>
      </c>
      <c r="M9" s="34">
        <f>LFP!H50</f>
        <v>6262.5</v>
      </c>
      <c r="N9" s="34">
        <f>LFP!L50</f>
        <v>6187.5</v>
      </c>
      <c r="O9" s="34">
        <f t="shared" si="1"/>
        <v>8278.75</v>
      </c>
      <c r="S9" s="30" t="s">
        <v>42</v>
      </c>
      <c r="T9" s="84">
        <f>LTO!D50</f>
        <v>6289.9875000000002</v>
      </c>
      <c r="U9" s="34">
        <f>LTO!H50</f>
        <v>3144.9704999999999</v>
      </c>
      <c r="V9" s="34">
        <f>LTO!L50</f>
        <v>6021</v>
      </c>
      <c r="W9" s="34">
        <f t="shared" si="2"/>
        <v>5151.9859999999999</v>
      </c>
      <c r="AA9" s="30" t="s">
        <v>42</v>
      </c>
      <c r="AB9" s="34">
        <f t="shared" si="3"/>
        <v>4919.5</v>
      </c>
      <c r="AC9" s="84">
        <f t="shared" si="4"/>
        <v>8278.75</v>
      </c>
      <c r="AD9" s="34">
        <f t="shared" si="5"/>
        <v>5151.9859999999999</v>
      </c>
      <c r="AE9" s="34">
        <f t="shared" si="6"/>
        <v>6116.7453333333333</v>
      </c>
      <c r="AI9" s="87" t="s">
        <v>42</v>
      </c>
      <c r="AJ9" s="88">
        <v>4919.5</v>
      </c>
      <c r="AK9" s="91">
        <v>8278.75</v>
      </c>
      <c r="AL9" s="88">
        <f t="shared" si="7"/>
        <v>6599.125</v>
      </c>
    </row>
    <row r="13" spans="3:38">
      <c r="C13" s="100" t="s">
        <v>105</v>
      </c>
      <c r="D13" s="103"/>
      <c r="E13" s="103"/>
      <c r="F13" s="103"/>
      <c r="G13" s="104"/>
      <c r="K13" s="100" t="s">
        <v>107</v>
      </c>
      <c r="L13" s="103"/>
      <c r="M13" s="103"/>
      <c r="N13" s="103"/>
      <c r="O13" s="104"/>
      <c r="S13" s="100" t="s">
        <v>106</v>
      </c>
      <c r="T13" s="103"/>
      <c r="U13" s="103"/>
      <c r="V13" s="103"/>
      <c r="W13" s="104"/>
      <c r="AA13" s="100" t="s">
        <v>104</v>
      </c>
      <c r="AB13" s="103"/>
      <c r="AC13" s="103"/>
      <c r="AD13" s="103"/>
      <c r="AE13" s="104"/>
      <c r="AI13" s="99" t="s">
        <v>104</v>
      </c>
      <c r="AJ13" s="99"/>
      <c r="AK13" s="99"/>
      <c r="AL13" s="99"/>
    </row>
    <row r="14" spans="3:38">
      <c r="C14" s="30"/>
      <c r="D14" s="31" t="s">
        <v>80</v>
      </c>
      <c r="E14" s="31" t="s">
        <v>81</v>
      </c>
      <c r="F14" s="31" t="s">
        <v>79</v>
      </c>
      <c r="G14" s="31" t="s">
        <v>83</v>
      </c>
      <c r="K14" s="30"/>
      <c r="L14" s="32" t="s">
        <v>31</v>
      </c>
      <c r="M14" s="32" t="s">
        <v>32</v>
      </c>
      <c r="N14" s="32" t="s">
        <v>33</v>
      </c>
      <c r="O14" s="32" t="s">
        <v>38</v>
      </c>
      <c r="S14" s="32"/>
      <c r="T14" s="32" t="s">
        <v>92</v>
      </c>
      <c r="U14" s="32" t="s">
        <v>93</v>
      </c>
      <c r="V14" s="32" t="s">
        <v>94</v>
      </c>
      <c r="W14" s="31" t="s">
        <v>98</v>
      </c>
      <c r="AA14" s="30"/>
      <c r="AB14" s="31" t="s">
        <v>83</v>
      </c>
      <c r="AC14" s="31" t="s">
        <v>38</v>
      </c>
      <c r="AD14" s="31" t="s">
        <v>98</v>
      </c>
      <c r="AE14" s="31" t="s">
        <v>82</v>
      </c>
      <c r="AI14" s="87"/>
      <c r="AJ14" s="87" t="s">
        <v>83</v>
      </c>
      <c r="AK14" s="87" t="s">
        <v>38</v>
      </c>
      <c r="AL14" s="87" t="s">
        <v>82</v>
      </c>
    </row>
    <row r="15" spans="3:38">
      <c r="C15" s="30" t="s">
        <v>36</v>
      </c>
      <c r="D15" s="36">
        <f>D5/$F$5</f>
        <v>0.5</v>
      </c>
      <c r="E15" s="36">
        <f t="shared" ref="E15:G15" si="8">E5/$F$5</f>
        <v>0.5</v>
      </c>
      <c r="F15" s="82">
        <f t="shared" si="8"/>
        <v>1</v>
      </c>
      <c r="G15" s="36">
        <f t="shared" si="8"/>
        <v>0.66666666666666663</v>
      </c>
      <c r="K15" s="30" t="s">
        <v>36</v>
      </c>
      <c r="L15" s="35">
        <f>L5/$N$5</f>
        <v>0.375</v>
      </c>
      <c r="M15" s="35">
        <f t="shared" ref="M15:N15" si="9">M5/$N$5</f>
        <v>0.5</v>
      </c>
      <c r="N15" s="84">
        <f t="shared" si="9"/>
        <v>1</v>
      </c>
      <c r="O15" s="35">
        <f>O5/$N$5</f>
        <v>0.625</v>
      </c>
      <c r="S15" s="32" t="s">
        <v>36</v>
      </c>
      <c r="T15" s="84">
        <f>20000/20000</f>
        <v>1</v>
      </c>
      <c r="U15" s="35">
        <f t="shared" ref="U15:V15" si="10">10000/20000</f>
        <v>0.5</v>
      </c>
      <c r="V15" s="35">
        <f t="shared" si="10"/>
        <v>0.5</v>
      </c>
      <c r="W15" s="35">
        <f>13333.3333333333/20000</f>
        <v>0.66666666666666496</v>
      </c>
      <c r="AA15" s="30" t="s">
        <v>36</v>
      </c>
      <c r="AB15" s="35">
        <f>AB5/$AD$5</f>
        <v>9.9999999999999992E-2</v>
      </c>
      <c r="AC15" s="35">
        <f t="shared" ref="AC15:AD15" si="11">AC5/$AD$5</f>
        <v>0.1875</v>
      </c>
      <c r="AD15" s="84">
        <f t="shared" si="11"/>
        <v>1</v>
      </c>
      <c r="AE15" s="35"/>
      <c r="AI15" s="30" t="s">
        <v>36</v>
      </c>
      <c r="AJ15" s="89">
        <f>AJ5/$AK$5</f>
        <v>0.53320000000000001</v>
      </c>
      <c r="AK15" s="91">
        <f t="shared" ref="AK15:AL15" si="12">AK5/$AK$5</f>
        <v>1</v>
      </c>
      <c r="AL15" s="89">
        <f t="shared" si="12"/>
        <v>0.76659999999999995</v>
      </c>
    </row>
    <row r="16" spans="3:38">
      <c r="C16" s="30" t="s">
        <v>84</v>
      </c>
      <c r="D16" s="82">
        <f>D6/$D$6</f>
        <v>1</v>
      </c>
      <c r="E16" s="36">
        <f t="shared" ref="E16:G16" si="13">E6/$D$6</f>
        <v>0.33333333333333331</v>
      </c>
      <c r="F16" s="36">
        <f t="shared" si="13"/>
        <v>0.28137490007993604</v>
      </c>
      <c r="G16" s="36">
        <f t="shared" si="13"/>
        <v>0.53823607780442317</v>
      </c>
      <c r="K16" s="30" t="s">
        <v>84</v>
      </c>
      <c r="L16" s="83">
        <f>L6/$L$6</f>
        <v>1</v>
      </c>
      <c r="M16" s="35">
        <f t="shared" ref="M16:O16" si="14">M6/$L$6</f>
        <v>0.15168029064486829</v>
      </c>
      <c r="N16" s="35">
        <f t="shared" si="14"/>
        <v>5.0801274650163951E-2</v>
      </c>
      <c r="O16" s="35">
        <f t="shared" si="14"/>
        <v>0.40082718843167742</v>
      </c>
      <c r="S16" s="32" t="s">
        <v>84</v>
      </c>
      <c r="T16" s="35">
        <f>139612/1491644</f>
        <v>9.3596059113300489E-2</v>
      </c>
      <c r="U16" s="84">
        <f>1491644/1491644</f>
        <v>1</v>
      </c>
      <c r="V16" s="35">
        <f>55680/1491644</f>
        <v>3.7327941519558289E-2</v>
      </c>
      <c r="W16" s="35">
        <f>562312/1491644</f>
        <v>0.3769746668776196</v>
      </c>
      <c r="AA16" s="30" t="s">
        <v>84</v>
      </c>
      <c r="AB16" s="35">
        <f>AB6/$AD$6</f>
        <v>4.103498850422983E-4</v>
      </c>
      <c r="AC16" s="35">
        <f t="shared" ref="AC16:AD16" si="15">AC6/$AD$6</f>
        <v>3.778082298494107E-4</v>
      </c>
      <c r="AD16" s="84">
        <f t="shared" si="15"/>
        <v>1</v>
      </c>
      <c r="AE16" s="35"/>
      <c r="AI16" s="30" t="s">
        <v>84</v>
      </c>
      <c r="AJ16" s="90">
        <f>AJ6/$AJ$6</f>
        <v>1</v>
      </c>
      <c r="AK16" s="89">
        <f t="shared" ref="AK16:AL16" si="16">AK6/$AJ$6</f>
        <v>0.92069778406412062</v>
      </c>
      <c r="AL16" s="89">
        <f t="shared" si="16"/>
        <v>0.96034889203206031</v>
      </c>
    </row>
    <row r="17" spans="3:38">
      <c r="C17" s="30" t="s">
        <v>85</v>
      </c>
      <c r="D17" s="82">
        <f>D7/$D$7</f>
        <v>1</v>
      </c>
      <c r="E17" s="36">
        <f t="shared" ref="E17:G17" si="17">E7/$D$7</f>
        <v>0.87499999999999989</v>
      </c>
      <c r="F17" s="36">
        <f t="shared" si="17"/>
        <v>0.16882494004796161</v>
      </c>
      <c r="G17" s="36">
        <f t="shared" si="17"/>
        <v>0.68127498001598719</v>
      </c>
      <c r="K17" s="30" t="s">
        <v>85</v>
      </c>
      <c r="L17" s="84">
        <f>L7/$L$7</f>
        <v>1</v>
      </c>
      <c r="M17" s="35">
        <f t="shared" ref="M17:O17" si="18">M7/$L$7</f>
        <v>0.95558583106267037</v>
      </c>
      <c r="N17" s="35">
        <f t="shared" si="18"/>
        <v>0.9499838359580659</v>
      </c>
      <c r="O17" s="35">
        <f t="shared" si="18"/>
        <v>0.96852322234024535</v>
      </c>
      <c r="S17" s="32" t="s">
        <v>39</v>
      </c>
      <c r="T17" s="35">
        <f>15.9261294244483/111.756922663701</f>
        <v>0.14250687156421815</v>
      </c>
      <c r="U17" s="84">
        <f>111.756922663701/111.756922663701</f>
        <v>1</v>
      </c>
      <c r="V17" s="35">
        <f>78.2608695652174/111.756922663701</f>
        <v>0.70027759981115489</v>
      </c>
      <c r="W17" s="35">
        <f>68.6479738844555/111.756922663701</f>
        <v>0.61426149045845702</v>
      </c>
      <c r="AA17" s="30" t="s">
        <v>85</v>
      </c>
      <c r="AB17" s="86">
        <f>AB7/$AD$7</f>
        <v>4.5683863596521761E-2</v>
      </c>
      <c r="AC17" s="86">
        <f t="shared" ref="AC17:AD17" si="19">AC7/$AD$7</f>
        <v>0.10036751423957198</v>
      </c>
      <c r="AD17" s="84">
        <f t="shared" si="19"/>
        <v>1</v>
      </c>
      <c r="AE17" s="35"/>
      <c r="AI17" s="30" t="s">
        <v>85</v>
      </c>
      <c r="AJ17" s="89">
        <f>AJ7/$AK$7</f>
        <v>0.45516583670167204</v>
      </c>
      <c r="AK17" s="91">
        <f t="shared" ref="AK17:AL17" si="20">AK7/$AK$7</f>
        <v>1</v>
      </c>
      <c r="AL17" s="89">
        <f t="shared" si="20"/>
        <v>0.72758291835083599</v>
      </c>
    </row>
    <row r="18" spans="3:38">
      <c r="C18" s="30" t="s">
        <v>57</v>
      </c>
      <c r="D18" s="36">
        <f>D8/$F$8</f>
        <v>0.91592534772858758</v>
      </c>
      <c r="E18" s="36">
        <f t="shared" ref="E18:G18" si="21">E8/$F$8</f>
        <v>0.70220943325858376</v>
      </c>
      <c r="F18" s="82">
        <f t="shared" si="21"/>
        <v>1</v>
      </c>
      <c r="G18" s="36">
        <f t="shared" si="21"/>
        <v>0.87271159366239037</v>
      </c>
      <c r="K18" s="30" t="s">
        <v>57</v>
      </c>
      <c r="L18" s="84">
        <f>L8/$L$8</f>
        <v>1</v>
      </c>
      <c r="M18" s="35">
        <f t="shared" ref="M18:O18" si="22">M8/$L$8</f>
        <v>0.93315718607893716</v>
      </c>
      <c r="N18" s="35">
        <f t="shared" si="22"/>
        <v>0.66185404711117279</v>
      </c>
      <c r="O18" s="35">
        <f t="shared" si="22"/>
        <v>0.86500374439670336</v>
      </c>
      <c r="S18" s="32" t="s">
        <v>43</v>
      </c>
      <c r="T18" s="84">
        <f>T7/$T$7</f>
        <v>1</v>
      </c>
      <c r="U18" s="35">
        <f t="shared" ref="U18:W18" si="23">U7/$T$7</f>
        <v>0.14285608675692915</v>
      </c>
      <c r="V18" s="35">
        <f t="shared" si="23"/>
        <v>5.1113730899227515E-2</v>
      </c>
      <c r="W18" s="35">
        <f t="shared" si="23"/>
        <v>0.39798993921871889</v>
      </c>
      <c r="AA18" s="30" t="s">
        <v>57</v>
      </c>
      <c r="AB18" s="35">
        <f>AB8/$AD$8</f>
        <v>1.8873403539199612E-2</v>
      </c>
      <c r="AC18" s="35">
        <f t="shared" ref="AC18:AD18" si="24">AC8/$AD$8</f>
        <v>3.9295151568148376E-2</v>
      </c>
      <c r="AD18" s="84">
        <f t="shared" si="24"/>
        <v>1</v>
      </c>
      <c r="AE18" s="35"/>
      <c r="AI18" s="30" t="s">
        <v>57</v>
      </c>
      <c r="AJ18" s="89">
        <f>AJ8/$AK$8</f>
        <v>0.480298530124462</v>
      </c>
      <c r="AK18" s="91">
        <f t="shared" ref="AK18:AL18" si="25">AK8/$AK$8</f>
        <v>1</v>
      </c>
      <c r="AL18" s="89">
        <f t="shared" si="25"/>
        <v>0.74014926506223111</v>
      </c>
    </row>
    <row r="19" spans="3:38">
      <c r="C19" s="30" t="s">
        <v>42</v>
      </c>
      <c r="D19" s="36">
        <f>D9/$E$9</f>
        <v>0.5</v>
      </c>
      <c r="E19" s="82">
        <f t="shared" ref="E19:G19" si="26">E9/$E$9</f>
        <v>1</v>
      </c>
      <c r="F19" s="36">
        <f t="shared" si="26"/>
        <v>0.85947242206235008</v>
      </c>
      <c r="G19" s="36">
        <f t="shared" si="26"/>
        <v>0.78649080735411669</v>
      </c>
      <c r="K19" s="30" t="s">
        <v>42</v>
      </c>
      <c r="L19" s="83">
        <f>L9/$L$9</f>
        <v>1</v>
      </c>
      <c r="M19" s="35">
        <f t="shared" ref="M19:O19" si="27">M9/$L$9</f>
        <v>0.50560096881622762</v>
      </c>
      <c r="N19" s="35">
        <f t="shared" si="27"/>
        <v>0.49954586739327883</v>
      </c>
      <c r="O19" s="35">
        <f t="shared" si="27"/>
        <v>0.66838227873650213</v>
      </c>
      <c r="S19" s="32" t="s">
        <v>42</v>
      </c>
      <c r="T19" s="84">
        <f>T9/$T$9</f>
        <v>1</v>
      </c>
      <c r="U19" s="35">
        <f t="shared" ref="U19:W19" si="28">U9/$T$9</f>
        <v>0.49999630364925207</v>
      </c>
      <c r="V19" s="35">
        <f t="shared" si="28"/>
        <v>0.95723560658904328</v>
      </c>
      <c r="W19" s="35">
        <f t="shared" si="28"/>
        <v>0.81907730341276508</v>
      </c>
      <c r="AA19" s="30" t="s">
        <v>42</v>
      </c>
      <c r="AB19" s="35">
        <f>AB9/$AC$9</f>
        <v>0.59423222104786355</v>
      </c>
      <c r="AC19" s="84">
        <f t="shared" ref="AC19:AD19" si="29">AC9/$AC$9</f>
        <v>1</v>
      </c>
      <c r="AD19" s="35">
        <f t="shared" si="29"/>
        <v>0.6223144798429715</v>
      </c>
      <c r="AE19" s="35"/>
      <c r="AI19" s="30" t="s">
        <v>42</v>
      </c>
      <c r="AJ19" s="89">
        <f>AJ9/$AK$9</f>
        <v>0.59423222104786355</v>
      </c>
      <c r="AK19" s="91">
        <f t="shared" ref="AK19:AL19" si="30">AK9/$AK$9</f>
        <v>1</v>
      </c>
      <c r="AL19" s="89">
        <f t="shared" si="30"/>
        <v>0.79711611052393172</v>
      </c>
    </row>
    <row r="21" spans="3:38" ht="15.75" customHeight="1"/>
    <row r="22" spans="3:38" ht="15.75" customHeight="1"/>
    <row r="23" spans="3:38" ht="15.75" customHeight="1"/>
    <row r="24" spans="3:38" ht="15.75" customHeight="1"/>
    <row r="25" spans="3:38" ht="15.75" customHeight="1"/>
    <row r="26" spans="3:38" ht="15.75" customHeight="1"/>
    <row r="27" spans="3:38" ht="15.75" customHeight="1"/>
    <row r="28" spans="3:38" ht="15.75" customHeight="1"/>
    <row r="29" spans="3:38" ht="15.75" customHeight="1"/>
    <row r="30" spans="3:38" ht="15.75" customHeight="1"/>
    <row r="31" spans="3:38" ht="15.75" customHeight="1"/>
    <row r="32" spans="3:3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I3:AL3"/>
    <mergeCell ref="AI13:AL13"/>
    <mergeCell ref="C3:G3"/>
    <mergeCell ref="S3:W3"/>
    <mergeCell ref="K3:O3"/>
    <mergeCell ref="AA3:AE3"/>
    <mergeCell ref="C13:G13"/>
    <mergeCell ref="S13:W13"/>
    <mergeCell ref="K13:O13"/>
    <mergeCell ref="AA13:AE13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1m_25%</vt:lpstr>
      <vt:lpstr>2m_25%</vt:lpstr>
      <vt:lpstr>EnergyDemand_25%</vt:lpstr>
      <vt:lpstr>NMC</vt:lpstr>
      <vt:lpstr>LFP</vt:lpstr>
      <vt:lpstr>LTO</vt:lpstr>
      <vt:lpstr>Radar_Plot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2024-04-23T21:21:02Z</dcterms:created>
  <dcterms:modified xsi:type="dcterms:W3CDTF">2026-01-19T10:59:29Z</dcterms:modified>
</cp:coreProperties>
</file>