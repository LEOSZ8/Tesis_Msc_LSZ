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01_Pnom015\"/>
    </mc:Choice>
  </mc:AlternateContent>
  <xr:revisionPtr revIDLastSave="0" documentId="13_ncr:1_{E270F721-9F6D-4A59-A1F3-D54E035396E5}" xr6:coauthVersionLast="47" xr6:coauthVersionMax="47" xr10:uidLastSave="{00000000-0000-0000-0000-000000000000}"/>
  <bookViews>
    <workbookView xWindow="-28920" yWindow="-11610" windowWidth="29040" windowHeight="15840" activeTab="4" xr2:uid="{32DAA168-B565-429F-AAFE-E289AA3DABBF}"/>
  </bookViews>
  <sheets>
    <sheet name="Costs 15%" sheetId="1" r:id="rId1"/>
    <sheet name="CAPEX 15%" sheetId="2" r:id="rId2"/>
    <sheet name="OPEX 15%" sheetId="3" r:id="rId3"/>
    <sheet name="VAN 15%" sheetId="4" r:id="rId4"/>
    <sheet name="TIR 15%" sheetId="6" r:id="rId5"/>
    <sheet name="ROI 15%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6" l="1"/>
  <c r="L3" i="6"/>
  <c r="L2" i="6"/>
  <c r="I4" i="6"/>
  <c r="I3" i="6"/>
  <c r="I2" i="6"/>
  <c r="F4" i="6"/>
  <c r="F3" i="6"/>
  <c r="F2" i="6"/>
  <c r="F14" i="3"/>
  <c r="C14" i="3"/>
  <c r="C15" i="3" l="1"/>
  <c r="F8" i="3"/>
  <c r="F7" i="3"/>
  <c r="F6" i="3"/>
  <c r="C8" i="3"/>
  <c r="C7" i="3"/>
  <c r="C6" i="3"/>
  <c r="I12" i="2"/>
  <c r="I13" i="2" s="1"/>
  <c r="B19" i="6" s="1"/>
  <c r="F12" i="2"/>
  <c r="F13" i="2" s="1"/>
  <c r="B14" i="6" s="1"/>
  <c r="C12" i="2"/>
  <c r="C13" i="2" s="1"/>
  <c r="B9" i="6" s="1"/>
  <c r="C11" i="2"/>
  <c r="F4" i="3"/>
  <c r="F3" i="3"/>
  <c r="F9" i="3"/>
  <c r="C9" i="3"/>
  <c r="C4" i="3"/>
  <c r="C3" i="3"/>
  <c r="F3" i="4" l="1"/>
  <c r="F2" i="8"/>
  <c r="B9" i="8" s="1"/>
  <c r="F4" i="4"/>
  <c r="F3" i="8"/>
  <c r="B18" i="8" s="1"/>
  <c r="F4" i="8"/>
  <c r="B28" i="8" s="1"/>
  <c r="F2" i="4"/>
  <c r="C5" i="3"/>
  <c r="C10" i="3" s="1"/>
  <c r="C17" i="3" s="1"/>
  <c r="F5" i="3"/>
  <c r="F10" i="3" s="1"/>
  <c r="F15" i="3" s="1"/>
  <c r="C18" i="3" s="1"/>
  <c r="C19" i="3" l="1"/>
  <c r="C2" i="6" s="1"/>
  <c r="C4" i="4"/>
  <c r="L13" i="4" s="1"/>
  <c r="C4" i="8" l="1"/>
  <c r="C9" i="8" s="1"/>
  <c r="D9" i="8" s="1"/>
  <c r="E9" i="8" s="1"/>
  <c r="F9" i="8" s="1"/>
  <c r="G9" i="8" s="1"/>
  <c r="H9" i="8" s="1"/>
  <c r="I9" i="8" s="1"/>
  <c r="J9" i="8" s="1"/>
  <c r="K9" i="8" s="1"/>
  <c r="L9" i="8" s="1"/>
  <c r="C13" i="8" s="1"/>
  <c r="D13" i="8" s="1"/>
  <c r="E13" i="8" s="1"/>
  <c r="F13" i="8" s="1"/>
  <c r="G13" i="8" s="1"/>
  <c r="H13" i="8" s="1"/>
  <c r="I13" i="8" s="1"/>
  <c r="J13" i="8" s="1"/>
  <c r="K13" i="8" s="1"/>
  <c r="L13" i="8" s="1"/>
  <c r="L19" i="6"/>
  <c r="R9" i="6"/>
  <c r="T14" i="6"/>
  <c r="P19" i="6"/>
  <c r="D14" i="6"/>
  <c r="E19" i="6"/>
  <c r="J19" i="6"/>
  <c r="O19" i="6"/>
  <c r="U19" i="6"/>
  <c r="I19" i="6"/>
  <c r="N19" i="6"/>
  <c r="S19" i="6"/>
  <c r="T19" i="6"/>
  <c r="M19" i="6"/>
  <c r="R19" i="6"/>
  <c r="V9" i="6"/>
  <c r="V19" i="6"/>
  <c r="S9" i="6"/>
  <c r="N9" i="6"/>
  <c r="O9" i="6"/>
  <c r="U9" i="6"/>
  <c r="K9" i="6"/>
  <c r="Q19" i="6"/>
  <c r="F19" i="6"/>
  <c r="L9" i="6"/>
  <c r="H9" i="6"/>
  <c r="H14" i="6"/>
  <c r="I9" i="6"/>
  <c r="G14" i="6"/>
  <c r="E9" i="6"/>
  <c r="K14" i="6"/>
  <c r="C9" i="6"/>
  <c r="K19" i="6"/>
  <c r="G9" i="6"/>
  <c r="N14" i="6"/>
  <c r="D19" i="6"/>
  <c r="R14" i="6"/>
  <c r="C19" i="6"/>
  <c r="Q14" i="6"/>
  <c r="E14" i="6"/>
  <c r="U14" i="6"/>
  <c r="Q9" i="6"/>
  <c r="T9" i="6"/>
  <c r="J9" i="6"/>
  <c r="P9" i="6"/>
  <c r="F9" i="6"/>
  <c r="J14" i="6"/>
  <c r="M9" i="6"/>
  <c r="C14" i="6"/>
  <c r="D9" i="6"/>
  <c r="L14" i="6"/>
  <c r="F14" i="6"/>
  <c r="P14" i="6"/>
  <c r="O14" i="6"/>
  <c r="I14" i="6"/>
  <c r="S14" i="6"/>
  <c r="M14" i="6"/>
  <c r="H19" i="6"/>
  <c r="V14" i="6"/>
  <c r="G19" i="6"/>
  <c r="C18" i="8"/>
  <c r="D18" i="8" s="1"/>
  <c r="E18" i="8" s="1"/>
  <c r="F18" i="8" s="1"/>
  <c r="G18" i="8" s="1"/>
  <c r="H18" i="8" s="1"/>
  <c r="I18" i="8" s="1"/>
  <c r="J18" i="8" s="1"/>
  <c r="K18" i="8" s="1"/>
  <c r="L18" i="8" s="1"/>
  <c r="C22" i="8" s="1"/>
  <c r="D22" i="8" s="1"/>
  <c r="E22" i="8" s="1"/>
  <c r="F22" i="8" s="1"/>
  <c r="G22" i="8" s="1"/>
  <c r="H22" i="8" s="1"/>
  <c r="I22" i="8" s="1"/>
  <c r="J22" i="8" s="1"/>
  <c r="K22" i="8" s="1"/>
  <c r="L22" i="8" s="1"/>
  <c r="I2" i="8"/>
  <c r="I3" i="8"/>
  <c r="I9" i="4"/>
  <c r="E13" i="4"/>
  <c r="I13" i="4"/>
  <c r="F13" i="4"/>
  <c r="K9" i="4"/>
  <c r="G9" i="4"/>
  <c r="C13" i="4"/>
  <c r="G13" i="4"/>
  <c r="J13" i="4"/>
  <c r="H9" i="4"/>
  <c r="C28" i="8"/>
  <c r="D28" i="8" s="1"/>
  <c r="E28" i="8" s="1"/>
  <c r="F28" i="8" s="1"/>
  <c r="G28" i="8" s="1"/>
  <c r="H28" i="8" s="1"/>
  <c r="I28" i="8" s="1"/>
  <c r="J28" i="8" s="1"/>
  <c r="K28" i="8" s="1"/>
  <c r="L28" i="8" s="1"/>
  <c r="C32" i="8" s="1"/>
  <c r="D32" i="8" s="1"/>
  <c r="E32" i="8" s="1"/>
  <c r="F32" i="8" s="1"/>
  <c r="G32" i="8" s="1"/>
  <c r="H32" i="8" s="1"/>
  <c r="I32" i="8" s="1"/>
  <c r="J32" i="8" s="1"/>
  <c r="K32" i="8" s="1"/>
  <c r="L32" i="8" s="1"/>
  <c r="E9" i="4"/>
  <c r="D9" i="4"/>
  <c r="C9" i="4"/>
  <c r="D13" i="4"/>
  <c r="K13" i="4"/>
  <c r="L9" i="4"/>
  <c r="J9" i="4"/>
  <c r="I4" i="8"/>
  <c r="F9" i="4"/>
  <c r="H13" i="4"/>
  <c r="I4" i="2"/>
  <c r="F4" i="2"/>
  <c r="F11" i="2" s="1"/>
  <c r="I10" i="2"/>
  <c r="I9" i="2"/>
  <c r="I8" i="2"/>
  <c r="I7" i="2"/>
  <c r="I6" i="2"/>
  <c r="I5" i="2"/>
  <c r="I11" i="2"/>
  <c r="F10" i="2"/>
  <c r="F9" i="2"/>
  <c r="F8" i="2"/>
  <c r="F7" i="2"/>
  <c r="F6" i="2"/>
  <c r="F5" i="2"/>
  <c r="C10" i="2"/>
  <c r="C9" i="2"/>
  <c r="C8" i="2"/>
  <c r="C7" i="2"/>
  <c r="C6" i="2"/>
  <c r="C5" i="2"/>
  <c r="C4" i="2"/>
  <c r="G26" i="1"/>
  <c r="H26" i="1" s="1"/>
  <c r="G23" i="1"/>
  <c r="H23" i="1" s="1"/>
  <c r="H20" i="1"/>
  <c r="G20" i="1"/>
  <c r="H17" i="1"/>
  <c r="G17" i="1"/>
  <c r="H14" i="1"/>
  <c r="H13" i="1"/>
  <c r="G14" i="1"/>
  <c r="G13" i="1"/>
  <c r="G10" i="1"/>
  <c r="F10" i="1"/>
  <c r="G6" i="1"/>
  <c r="G7" i="1"/>
  <c r="G5" i="1"/>
  <c r="F6" i="1"/>
  <c r="F7" i="1"/>
  <c r="F5" i="1"/>
  <c r="L4" i="4" l="1"/>
  <c r="O2" i="4"/>
  <c r="L2" i="4"/>
  <c r="O4" i="4"/>
  <c r="L3" i="4"/>
  <c r="O3" i="4"/>
  <c r="I2" i="4"/>
  <c r="I3" i="4"/>
  <c r="I4" i="4"/>
</calcChain>
</file>

<file path=xl/sharedStrings.xml><?xml version="1.0" encoding="utf-8"?>
<sst xmlns="http://schemas.openxmlformats.org/spreadsheetml/2006/main" count="162" uniqueCount="74">
  <si>
    <t>Lowest Cost ($/kWh)</t>
  </si>
  <si>
    <t>Highest Cost ($/kWh)</t>
  </si>
  <si>
    <t>Battery Bank NMC</t>
  </si>
  <si>
    <t>NMC</t>
  </si>
  <si>
    <t>LFP</t>
  </si>
  <si>
    <t>LTO</t>
  </si>
  <si>
    <t>Average Cost ($/kWh)</t>
  </si>
  <si>
    <t>Capacity (kWh)</t>
  </si>
  <si>
    <t>Total Cost ($)</t>
  </si>
  <si>
    <t>DC/DC Converters</t>
  </si>
  <si>
    <t>Units</t>
  </si>
  <si>
    <t>Nominal Power per unit (kW)</t>
  </si>
  <si>
    <t>Inverters and Drives</t>
  </si>
  <si>
    <t>Inverter</t>
  </si>
  <si>
    <t>Drive</t>
  </si>
  <si>
    <t>Main Genset</t>
  </si>
  <si>
    <t>Electric Motors</t>
  </si>
  <si>
    <t>Highest Cost ($/kW)</t>
  </si>
  <si>
    <t>Average Cost ($/kW)</t>
  </si>
  <si>
    <t>Lowest Cost ($/kW)</t>
  </si>
  <si>
    <t>Integration/Cabling/Equipment</t>
  </si>
  <si>
    <t>Fire/Safety Systems</t>
  </si>
  <si>
    <t>Lowest Cost ($)</t>
  </si>
  <si>
    <t>Highest Cost ($)</t>
  </si>
  <si>
    <t>Average Cost ($)</t>
  </si>
  <si>
    <t>Batt Bank</t>
  </si>
  <si>
    <t>DC/DC</t>
  </si>
  <si>
    <t>Inverters/Drives</t>
  </si>
  <si>
    <t>General Equipments/elements</t>
  </si>
  <si>
    <t>Fire security system</t>
  </si>
  <si>
    <t>Conventional Tug</t>
  </si>
  <si>
    <t>Lowest yearly fuel consumption (L)</t>
  </si>
  <si>
    <t>Highest yearly fuel consumption (L)</t>
  </si>
  <si>
    <t>Average yearly fuel consumption (L)</t>
  </si>
  <si>
    <t>Hybrid Tug</t>
  </si>
  <si>
    <t>Fuel Cost ($/L)</t>
  </si>
  <si>
    <t>Total fuel cost ($/year)</t>
  </si>
  <si>
    <t>Electricity</t>
  </si>
  <si>
    <t>Engine Maintenance</t>
  </si>
  <si>
    <t>Battery Replacement</t>
  </si>
  <si>
    <t>Total OPEX</t>
  </si>
  <si>
    <t>OPEX Conventional Tug</t>
  </si>
  <si>
    <t>OPEX Hybrid Tug</t>
  </si>
  <si>
    <t>Yearly profit</t>
  </si>
  <si>
    <t>Lifespan</t>
  </si>
  <si>
    <t>Yearly Profit ($)</t>
  </si>
  <si>
    <t>Discount Rate (%)</t>
  </si>
  <si>
    <t>Years</t>
  </si>
  <si>
    <t>VAN NMC</t>
  </si>
  <si>
    <t>VAN LFP</t>
  </si>
  <si>
    <t>VAN LTO</t>
  </si>
  <si>
    <t>TIR NMC</t>
  </si>
  <si>
    <t>NMC Batt Bank</t>
  </si>
  <si>
    <t>LFP Batt Bank</t>
  </si>
  <si>
    <t>LTO Batt Bank</t>
  </si>
  <si>
    <t>TIR LFP</t>
  </si>
  <si>
    <t>TIR LTO</t>
  </si>
  <si>
    <t>ROI NMC</t>
  </si>
  <si>
    <t>ROI LFP</t>
  </si>
  <si>
    <t>ROI LTO</t>
  </si>
  <si>
    <t>Carbon Tax ($50/ton)</t>
  </si>
  <si>
    <t>Goverment grants (20%-40%)</t>
  </si>
  <si>
    <t>Percentage of the cost subsidized by the government</t>
  </si>
  <si>
    <t>Costo Bruto</t>
  </si>
  <si>
    <t>Costo Total</t>
  </si>
  <si>
    <t>Lowest yearly CO2 emissions generated (t)</t>
  </si>
  <si>
    <t>Highest yearly CO2 emissions generated (t)</t>
  </si>
  <si>
    <t>Average yearly CO2 emissions generated (t)</t>
  </si>
  <si>
    <t>Cost NMC</t>
  </si>
  <si>
    <t>Cost LFP</t>
  </si>
  <si>
    <t>Cost LTO</t>
  </si>
  <si>
    <t>20 años</t>
  </si>
  <si>
    <t>10 años</t>
  </si>
  <si>
    <t>15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</si>
</sst>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164" formatCode="_ &quot;$&quot;* #,##0.0_ ;_ &quot;$&quot;* \-#,##0.0_ ;_ &quot;$&quot;* &quot;-&quot;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42" fontId="0" fillId="0" borderId="0" xfId="1" applyFont="1"/>
    <xf numFmtId="0" fontId="2" fillId="0" borderId="0" xfId="0" applyFont="1" applyAlignment="1">
      <alignment horizontal="center"/>
    </xf>
    <xf numFmtId="0" fontId="2" fillId="0" borderId="0" xfId="0" applyFont="1"/>
    <xf numFmtId="42" fontId="2" fillId="0" borderId="0" xfId="1" applyFont="1"/>
    <xf numFmtId="42" fontId="0" fillId="0" borderId="0" xfId="0" applyNumberFormat="1"/>
    <xf numFmtId="1" fontId="0" fillId="0" borderId="0" xfId="0" applyNumberFormat="1"/>
    <xf numFmtId="164" fontId="0" fillId="0" borderId="0" xfId="1" applyNumberFormat="1" applyFont="1" applyAlignment="1"/>
    <xf numFmtId="42" fontId="2" fillId="0" borderId="0" xfId="0" applyNumberFormat="1" applyFont="1"/>
    <xf numFmtId="42" fontId="2" fillId="0" borderId="0" xfId="0" applyNumberFormat="1" applyFont="1" applyAlignment="1">
      <alignment horizontal="center"/>
    </xf>
    <xf numFmtId="9" fontId="0" fillId="0" borderId="0" xfId="2" applyFont="1"/>
    <xf numFmtId="10" fontId="2" fillId="0" borderId="0" xfId="0" applyNumberFormat="1" applyFont="1"/>
    <xf numFmtId="2" fontId="2" fillId="0" borderId="0" xfId="1" applyNumberFormat="1" applyFont="1"/>
    <xf numFmtId="42" fontId="0" fillId="2" borderId="0" xfId="0" applyNumberFormat="1" applyFill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horizontal="center"/>
    </xf>
  </cellXfs>
  <cellStyles count="3">
    <cellStyle name="Moneda [0]" xfId="1" builtinId="7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4D7A-AB81-456B-B0DB-733EF237E819}">
  <dimension ref="B3:H26"/>
  <sheetViews>
    <sheetView workbookViewId="0">
      <selection activeCell="H8" sqref="H8"/>
    </sheetView>
  </sheetViews>
  <sheetFormatPr baseColWidth="10" defaultRowHeight="14.5" x14ac:dyDescent="0.35"/>
  <cols>
    <col min="2" max="2" width="12.90625" bestFit="1" customWidth="1"/>
    <col min="3" max="4" width="23.7265625" bestFit="1" customWidth="1"/>
    <col min="5" max="5" width="18.08984375" bestFit="1" customWidth="1"/>
    <col min="6" max="7" width="18.36328125" bestFit="1" customWidth="1"/>
    <col min="8" max="8" width="11.6328125" bestFit="1" customWidth="1"/>
  </cols>
  <sheetData>
    <row r="3" spans="2:8" x14ac:dyDescent="0.35">
      <c r="B3" s="16" t="s">
        <v>2</v>
      </c>
      <c r="C3" s="16"/>
      <c r="D3" s="16"/>
      <c r="E3" s="16"/>
      <c r="F3" s="16"/>
      <c r="G3" s="16"/>
    </row>
    <row r="4" spans="2:8" x14ac:dyDescent="0.35">
      <c r="C4" t="s">
        <v>7</v>
      </c>
      <c r="D4" t="s">
        <v>0</v>
      </c>
      <c r="E4" t="s">
        <v>1</v>
      </c>
      <c r="F4" t="s">
        <v>6</v>
      </c>
      <c r="G4" s="3" t="s">
        <v>8</v>
      </c>
    </row>
    <row r="5" spans="2:8" x14ac:dyDescent="0.35">
      <c r="B5" t="s">
        <v>3</v>
      </c>
      <c r="C5">
        <v>2800</v>
      </c>
      <c r="D5">
        <v>550</v>
      </c>
      <c r="E5">
        <v>750</v>
      </c>
      <c r="F5">
        <f>(D5+E5)/2</f>
        <v>650</v>
      </c>
      <c r="G5" s="4">
        <f>F5*C5</f>
        <v>1820000</v>
      </c>
    </row>
    <row r="6" spans="2:8" x14ac:dyDescent="0.35">
      <c r="B6" t="s">
        <v>4</v>
      </c>
      <c r="C6">
        <v>2800</v>
      </c>
      <c r="D6">
        <v>450</v>
      </c>
      <c r="E6">
        <v>600</v>
      </c>
      <c r="F6">
        <f t="shared" ref="F6:F7" si="0">(D6+E6)/2</f>
        <v>525</v>
      </c>
      <c r="G6" s="4">
        <f t="shared" ref="G6:G7" si="1">F6*C6</f>
        <v>1470000</v>
      </c>
    </row>
    <row r="7" spans="2:8" x14ac:dyDescent="0.35">
      <c r="B7" t="s">
        <v>5</v>
      </c>
      <c r="C7">
        <v>2800</v>
      </c>
      <c r="D7">
        <v>900</v>
      </c>
      <c r="E7">
        <v>1200</v>
      </c>
      <c r="F7">
        <f t="shared" si="0"/>
        <v>1050</v>
      </c>
      <c r="G7" s="4">
        <f t="shared" si="1"/>
        <v>2940000</v>
      </c>
    </row>
    <row r="8" spans="2:8" x14ac:dyDescent="0.35">
      <c r="B8" s="16" t="s">
        <v>9</v>
      </c>
      <c r="C8" s="16"/>
      <c r="D8" s="16"/>
      <c r="E8" s="16"/>
      <c r="F8" s="16"/>
      <c r="G8" s="16"/>
    </row>
    <row r="9" spans="2:8" x14ac:dyDescent="0.35">
      <c r="B9" t="s">
        <v>10</v>
      </c>
      <c r="C9" t="s">
        <v>11</v>
      </c>
      <c r="D9" t="s">
        <v>19</v>
      </c>
      <c r="E9" t="s">
        <v>17</v>
      </c>
      <c r="F9" t="s">
        <v>18</v>
      </c>
      <c r="G9" s="3" t="s">
        <v>8</v>
      </c>
    </row>
    <row r="10" spans="2:8" x14ac:dyDescent="0.35">
      <c r="B10">
        <v>4</v>
      </c>
      <c r="C10">
        <v>150</v>
      </c>
      <c r="D10">
        <v>100</v>
      </c>
      <c r="E10">
        <v>150</v>
      </c>
      <c r="F10">
        <f>(D10+E10)/2</f>
        <v>125</v>
      </c>
      <c r="G10" s="4">
        <f>B10*C10*F10</f>
        <v>75000</v>
      </c>
    </row>
    <row r="11" spans="2:8" x14ac:dyDescent="0.35">
      <c r="B11" s="16" t="s">
        <v>12</v>
      </c>
      <c r="C11" s="16"/>
      <c r="D11" s="16"/>
      <c r="E11" s="16"/>
      <c r="F11" s="16"/>
      <c r="G11" s="16"/>
    </row>
    <row r="12" spans="2:8" x14ac:dyDescent="0.35">
      <c r="C12" t="s">
        <v>10</v>
      </c>
      <c r="D12" t="s">
        <v>11</v>
      </c>
      <c r="E12" t="s">
        <v>19</v>
      </c>
      <c r="F12" t="s">
        <v>17</v>
      </c>
      <c r="G12" t="s">
        <v>18</v>
      </c>
      <c r="H12" s="3" t="s">
        <v>8</v>
      </c>
    </row>
    <row r="13" spans="2:8" x14ac:dyDescent="0.35">
      <c r="B13" t="s">
        <v>13</v>
      </c>
      <c r="C13">
        <v>2</v>
      </c>
      <c r="D13">
        <v>300</v>
      </c>
      <c r="E13">
        <v>120</v>
      </c>
      <c r="F13">
        <v>180</v>
      </c>
      <c r="G13">
        <f>(E13+F13)/2</f>
        <v>150</v>
      </c>
      <c r="H13" s="4">
        <f>C13*D13*G13</f>
        <v>90000</v>
      </c>
    </row>
    <row r="14" spans="2:8" x14ac:dyDescent="0.35">
      <c r="B14" t="s">
        <v>14</v>
      </c>
      <c r="C14">
        <v>2</v>
      </c>
      <c r="D14">
        <v>1000</v>
      </c>
      <c r="E14">
        <v>120</v>
      </c>
      <c r="F14">
        <v>180</v>
      </c>
      <c r="G14">
        <f>(E14+F14)/2</f>
        <v>150</v>
      </c>
      <c r="H14" s="4">
        <f>C14*D14*G14</f>
        <v>300000</v>
      </c>
    </row>
    <row r="15" spans="2:8" x14ac:dyDescent="0.35">
      <c r="B15" s="16" t="s">
        <v>15</v>
      </c>
      <c r="C15" s="16"/>
      <c r="D15" s="16"/>
      <c r="E15" s="16"/>
      <c r="F15" s="16"/>
      <c r="G15" s="16"/>
      <c r="H15" s="3"/>
    </row>
    <row r="16" spans="2:8" x14ac:dyDescent="0.35">
      <c r="C16" t="s">
        <v>10</v>
      </c>
      <c r="D16" t="s">
        <v>11</v>
      </c>
      <c r="E16" t="s">
        <v>19</v>
      </c>
      <c r="F16" t="s">
        <v>17</v>
      </c>
      <c r="G16" t="s">
        <v>18</v>
      </c>
      <c r="H16" s="3" t="s">
        <v>8</v>
      </c>
    </row>
    <row r="17" spans="2:8" x14ac:dyDescent="0.35">
      <c r="C17">
        <v>1</v>
      </c>
      <c r="D17">
        <v>2000</v>
      </c>
      <c r="E17">
        <v>75</v>
      </c>
      <c r="F17">
        <v>750</v>
      </c>
      <c r="G17">
        <f>(E17+F17)/2</f>
        <v>412.5</v>
      </c>
      <c r="H17" s="4">
        <f>C17*D17*G17</f>
        <v>825000</v>
      </c>
    </row>
    <row r="18" spans="2:8" x14ac:dyDescent="0.35">
      <c r="B18" s="16" t="s">
        <v>16</v>
      </c>
      <c r="C18" s="16"/>
      <c r="D18" s="16"/>
      <c r="E18" s="16"/>
      <c r="F18" s="16"/>
      <c r="G18" s="16"/>
    </row>
    <row r="19" spans="2:8" x14ac:dyDescent="0.35">
      <c r="C19" t="s">
        <v>10</v>
      </c>
      <c r="D19" t="s">
        <v>11</v>
      </c>
      <c r="E19" t="s">
        <v>19</v>
      </c>
      <c r="F19" t="s">
        <v>17</v>
      </c>
      <c r="G19" t="s">
        <v>18</v>
      </c>
      <c r="H19" s="3" t="s">
        <v>8</v>
      </c>
    </row>
    <row r="20" spans="2:8" x14ac:dyDescent="0.35">
      <c r="B20" t="s">
        <v>16</v>
      </c>
      <c r="C20">
        <v>2</v>
      </c>
      <c r="D20">
        <v>1000</v>
      </c>
      <c r="E20">
        <v>90</v>
      </c>
      <c r="F20">
        <v>250</v>
      </c>
      <c r="G20">
        <f>(E20+F20)/2</f>
        <v>170</v>
      </c>
      <c r="H20" s="4">
        <f>C20*D20*G20</f>
        <v>340000</v>
      </c>
    </row>
    <row r="21" spans="2:8" x14ac:dyDescent="0.35">
      <c r="B21" s="16" t="s">
        <v>20</v>
      </c>
      <c r="C21" s="16"/>
      <c r="D21" s="16"/>
      <c r="E21" s="16"/>
      <c r="F21" s="16"/>
      <c r="G21" s="16"/>
    </row>
    <row r="22" spans="2:8" x14ac:dyDescent="0.35">
      <c r="E22" t="s">
        <v>22</v>
      </c>
      <c r="F22" t="s">
        <v>23</v>
      </c>
      <c r="G22" t="s">
        <v>24</v>
      </c>
      <c r="H22" s="3" t="s">
        <v>8</v>
      </c>
    </row>
    <row r="23" spans="2:8" x14ac:dyDescent="0.35">
      <c r="E23" s="1">
        <v>100000</v>
      </c>
      <c r="F23" s="1">
        <v>175000</v>
      </c>
      <c r="G23" s="1">
        <f>(E23+F23)/2</f>
        <v>137500</v>
      </c>
      <c r="H23" s="4">
        <f>G23</f>
        <v>137500</v>
      </c>
    </row>
    <row r="24" spans="2:8" x14ac:dyDescent="0.35">
      <c r="B24" s="16" t="s">
        <v>21</v>
      </c>
      <c r="C24" s="16"/>
      <c r="D24" s="16"/>
      <c r="E24" s="16"/>
      <c r="F24" s="16"/>
      <c r="G24" s="16"/>
    </row>
    <row r="25" spans="2:8" x14ac:dyDescent="0.35">
      <c r="E25" t="s">
        <v>22</v>
      </c>
      <c r="F25" t="s">
        <v>23</v>
      </c>
      <c r="G25" t="s">
        <v>24</v>
      </c>
      <c r="H25" s="3" t="s">
        <v>8</v>
      </c>
    </row>
    <row r="26" spans="2:8" x14ac:dyDescent="0.35">
      <c r="E26" s="1">
        <v>50000</v>
      </c>
      <c r="F26" s="1">
        <v>80000</v>
      </c>
      <c r="G26" s="1">
        <f>(E26+F26)/2</f>
        <v>65000</v>
      </c>
      <c r="H26" s="4">
        <f>G26</f>
        <v>65000</v>
      </c>
    </row>
  </sheetData>
  <mergeCells count="7">
    <mergeCell ref="B18:G18"/>
    <mergeCell ref="B21:G21"/>
    <mergeCell ref="B24:G24"/>
    <mergeCell ref="B3:G3"/>
    <mergeCell ref="B8:G8"/>
    <mergeCell ref="B11:G11"/>
    <mergeCell ref="B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CAA-C5C8-4FF3-BA68-5F71D3D769DB}">
  <dimension ref="B3:I17"/>
  <sheetViews>
    <sheetView workbookViewId="0">
      <selection activeCell="C18" sqref="C18"/>
    </sheetView>
  </sheetViews>
  <sheetFormatPr baseColWidth="10" defaultRowHeight="14.5" x14ac:dyDescent="0.35"/>
  <cols>
    <col min="2" max="2" width="45.26953125" bestFit="1" customWidth="1"/>
    <col min="5" max="5" width="25.453125" bestFit="1" customWidth="1"/>
    <col min="8" max="8" width="25.453125" bestFit="1" customWidth="1"/>
  </cols>
  <sheetData>
    <row r="3" spans="2:9" x14ac:dyDescent="0.35">
      <c r="B3" s="16" t="s">
        <v>3</v>
      </c>
      <c r="C3" s="16"/>
      <c r="E3" s="16" t="s">
        <v>4</v>
      </c>
      <c r="F3" s="16"/>
      <c r="H3" s="16" t="s">
        <v>5</v>
      </c>
      <c r="I3" s="16"/>
    </row>
    <row r="4" spans="2:9" x14ac:dyDescent="0.35">
      <c r="B4" t="s">
        <v>25</v>
      </c>
      <c r="C4" s="5">
        <f>'Costs 15%'!G5</f>
        <v>1820000</v>
      </c>
      <c r="E4" t="s">
        <v>25</v>
      </c>
      <c r="F4" s="5">
        <f>'Costs 15%'!G6</f>
        <v>1470000</v>
      </c>
      <c r="H4" t="s">
        <v>25</v>
      </c>
      <c r="I4" s="5">
        <f>'Costs 15%'!G7</f>
        <v>2940000</v>
      </c>
    </row>
    <row r="5" spans="2:9" x14ac:dyDescent="0.35">
      <c r="B5" t="s">
        <v>26</v>
      </c>
      <c r="C5" s="5">
        <f>'Costs 15%'!$G$10</f>
        <v>75000</v>
      </c>
      <c r="E5" t="s">
        <v>26</v>
      </c>
      <c r="F5" s="5">
        <f>'Costs 15%'!$G$10</f>
        <v>75000</v>
      </c>
      <c r="H5" t="s">
        <v>26</v>
      </c>
      <c r="I5" s="5">
        <f>'Costs 15%'!$G$10</f>
        <v>75000</v>
      </c>
    </row>
    <row r="6" spans="2:9" x14ac:dyDescent="0.35">
      <c r="B6" t="s">
        <v>27</v>
      </c>
      <c r="C6" s="5">
        <f>'Costs 15%'!$H$13+'Costs 15%'!$H$14</f>
        <v>390000</v>
      </c>
      <c r="E6" t="s">
        <v>27</v>
      </c>
      <c r="F6" s="5">
        <f>'Costs 15%'!$H$13+'Costs 15%'!$H$14</f>
        <v>390000</v>
      </c>
      <c r="H6" t="s">
        <v>27</v>
      </c>
      <c r="I6" s="5">
        <f>'Costs 15%'!$H$13+'Costs 15%'!$H$14</f>
        <v>390000</v>
      </c>
    </row>
    <row r="7" spans="2:9" x14ac:dyDescent="0.35">
      <c r="B7" t="s">
        <v>15</v>
      </c>
      <c r="C7" s="5">
        <f>'Costs 15%'!$H$17</f>
        <v>825000</v>
      </c>
      <c r="E7" t="s">
        <v>15</v>
      </c>
      <c r="F7" s="5">
        <f>'Costs 15%'!$H$17</f>
        <v>825000</v>
      </c>
      <c r="H7" t="s">
        <v>15</v>
      </c>
      <c r="I7" s="5">
        <f>'Costs 15%'!$H$17</f>
        <v>825000</v>
      </c>
    </row>
    <row r="8" spans="2:9" x14ac:dyDescent="0.35">
      <c r="B8" t="s">
        <v>16</v>
      </c>
      <c r="C8" s="5">
        <f>'Costs 15%'!$H$20</f>
        <v>340000</v>
      </c>
      <c r="E8" t="s">
        <v>16</v>
      </c>
      <c r="F8" s="5">
        <f>'Costs 15%'!$H$20</f>
        <v>340000</v>
      </c>
      <c r="H8" t="s">
        <v>16</v>
      </c>
      <c r="I8" s="5">
        <f>'Costs 15%'!$H$20</f>
        <v>340000</v>
      </c>
    </row>
    <row r="9" spans="2:9" x14ac:dyDescent="0.35">
      <c r="B9" t="s">
        <v>28</v>
      </c>
      <c r="C9" s="5">
        <f>'Costs 15%'!$H$23</f>
        <v>137500</v>
      </c>
      <c r="E9" t="s">
        <v>28</v>
      </c>
      <c r="F9" s="5">
        <f>'Costs 15%'!$H$23</f>
        <v>137500</v>
      </c>
      <c r="H9" t="s">
        <v>28</v>
      </c>
      <c r="I9" s="5">
        <f>'Costs 15%'!$H$23</f>
        <v>137500</v>
      </c>
    </row>
    <row r="10" spans="2:9" x14ac:dyDescent="0.35">
      <c r="B10" t="s">
        <v>29</v>
      </c>
      <c r="C10" s="5">
        <f>'Costs 15%'!$H$26</f>
        <v>65000</v>
      </c>
      <c r="E10" t="s">
        <v>29</v>
      </c>
      <c r="F10" s="5">
        <f>'Costs 15%'!$H$26</f>
        <v>65000</v>
      </c>
      <c r="H10" t="s">
        <v>29</v>
      </c>
      <c r="I10" s="5">
        <f>'Costs 15%'!$H$26</f>
        <v>65000</v>
      </c>
    </row>
    <row r="11" spans="2:9" x14ac:dyDescent="0.35">
      <c r="B11" s="3" t="s">
        <v>63</v>
      </c>
      <c r="C11" s="8">
        <f>SUM(C4:C10)</f>
        <v>3652500</v>
      </c>
      <c r="E11" s="3" t="s">
        <v>63</v>
      </c>
      <c r="F11" s="8">
        <f>SUM(F4:F10)</f>
        <v>3302500</v>
      </c>
      <c r="H11" s="3" t="s">
        <v>63</v>
      </c>
      <c r="I11" s="8">
        <f>SUM(I4:I10)</f>
        <v>4772500</v>
      </c>
    </row>
    <row r="12" spans="2:9" x14ac:dyDescent="0.35">
      <c r="B12" s="14" t="s">
        <v>61</v>
      </c>
      <c r="C12" s="5">
        <f>C11*C17</f>
        <v>0</v>
      </c>
      <c r="E12" s="14" t="s">
        <v>61</v>
      </c>
      <c r="F12" s="5">
        <f>F11*C17</f>
        <v>0</v>
      </c>
      <c r="H12" s="14" t="s">
        <v>61</v>
      </c>
      <c r="I12" s="5">
        <f>I11*C17</f>
        <v>0</v>
      </c>
    </row>
    <row r="13" spans="2:9" x14ac:dyDescent="0.35">
      <c r="B13" s="3" t="s">
        <v>64</v>
      </c>
      <c r="C13" s="8">
        <f>C11-C12</f>
        <v>3652500</v>
      </c>
      <c r="E13" s="3" t="s">
        <v>64</v>
      </c>
      <c r="F13" s="8">
        <f>F11-F12</f>
        <v>3302500</v>
      </c>
      <c r="H13" s="3" t="s">
        <v>64</v>
      </c>
      <c r="I13" s="8">
        <f>I11-I12</f>
        <v>4772500</v>
      </c>
    </row>
    <row r="17" spans="2:3" x14ac:dyDescent="0.35">
      <c r="B17" s="14" t="s">
        <v>62</v>
      </c>
      <c r="C17" s="10">
        <v>0</v>
      </c>
    </row>
  </sheetData>
  <mergeCells count="3">
    <mergeCell ref="B3:C3"/>
    <mergeCell ref="E3:F3"/>
    <mergeCell ref="H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F4CD5-5B27-45B4-BE42-4FE58799A9A6}">
  <dimension ref="B2:F19"/>
  <sheetViews>
    <sheetView workbookViewId="0">
      <selection activeCell="F15" sqref="F15"/>
    </sheetView>
  </sheetViews>
  <sheetFormatPr baseColWidth="10" defaultRowHeight="14.5" x14ac:dyDescent="0.35"/>
  <cols>
    <col min="2" max="2" width="37.453125" bestFit="1" customWidth="1"/>
    <col min="3" max="3" width="18.7265625" bestFit="1" customWidth="1"/>
    <col min="5" max="5" width="37.453125" bestFit="1" customWidth="1"/>
  </cols>
  <sheetData>
    <row r="2" spans="2:6" x14ac:dyDescent="0.35">
      <c r="B2" s="16" t="s">
        <v>30</v>
      </c>
      <c r="C2" s="16"/>
      <c r="E2" s="16" t="s">
        <v>34</v>
      </c>
      <c r="F2" s="16"/>
    </row>
    <row r="3" spans="2:6" x14ac:dyDescent="0.35">
      <c r="B3" t="s">
        <v>31</v>
      </c>
      <c r="C3" s="6">
        <f>5366*365</f>
        <v>1958590</v>
      </c>
      <c r="E3" t="s">
        <v>31</v>
      </c>
      <c r="F3" s="6">
        <f>2406*365</f>
        <v>878190</v>
      </c>
    </row>
    <row r="4" spans="2:6" x14ac:dyDescent="0.35">
      <c r="B4" t="s">
        <v>32</v>
      </c>
      <c r="C4" s="6">
        <f>6385*365</f>
        <v>2330525</v>
      </c>
      <c r="E4" t="s">
        <v>32</v>
      </c>
      <c r="F4" s="6">
        <f>4268*365</f>
        <v>1557820</v>
      </c>
    </row>
    <row r="5" spans="2:6" x14ac:dyDescent="0.35">
      <c r="B5" t="s">
        <v>33</v>
      </c>
      <c r="C5">
        <f>(C3+C4)/2</f>
        <v>2144557.5</v>
      </c>
      <c r="E5" t="s">
        <v>33</v>
      </c>
      <c r="F5">
        <f>(F3+F4)/2</f>
        <v>1218005</v>
      </c>
    </row>
    <row r="6" spans="2:6" x14ac:dyDescent="0.35">
      <c r="B6" t="s">
        <v>65</v>
      </c>
      <c r="C6">
        <f>14.3*365</f>
        <v>5219.5</v>
      </c>
      <c r="E6" t="s">
        <v>65</v>
      </c>
      <c r="F6">
        <f>6.4*365</f>
        <v>2336</v>
      </c>
    </row>
    <row r="7" spans="2:6" x14ac:dyDescent="0.35">
      <c r="B7" t="s">
        <v>66</v>
      </c>
      <c r="C7">
        <f>17*365</f>
        <v>6205</v>
      </c>
      <c r="E7" t="s">
        <v>66</v>
      </c>
      <c r="F7">
        <f>11.4*365</f>
        <v>4161</v>
      </c>
    </row>
    <row r="8" spans="2:6" x14ac:dyDescent="0.35">
      <c r="B8" t="s">
        <v>67</v>
      </c>
      <c r="C8">
        <f>(C6+C7)/2</f>
        <v>5712.25</v>
      </c>
      <c r="E8" t="s">
        <v>67</v>
      </c>
      <c r="F8">
        <f>(F6+F7)/2</f>
        <v>3248.5</v>
      </c>
    </row>
    <row r="9" spans="2:6" x14ac:dyDescent="0.35">
      <c r="B9" t="s">
        <v>35</v>
      </c>
      <c r="C9" s="7">
        <f>0.8</f>
        <v>0.8</v>
      </c>
      <c r="E9" t="s">
        <v>35</v>
      </c>
      <c r="F9" s="7">
        <f>0.8</f>
        <v>0.8</v>
      </c>
    </row>
    <row r="10" spans="2:6" x14ac:dyDescent="0.35">
      <c r="B10" s="3" t="s">
        <v>36</v>
      </c>
      <c r="C10" s="4">
        <f>C5*C9</f>
        <v>1715646</v>
      </c>
      <c r="E10" s="3" t="s">
        <v>36</v>
      </c>
      <c r="F10" s="4">
        <f>F5*F9</f>
        <v>974404</v>
      </c>
    </row>
    <row r="11" spans="2:6" x14ac:dyDescent="0.35">
      <c r="B11" t="s">
        <v>37</v>
      </c>
      <c r="C11" s="1">
        <v>0</v>
      </c>
      <c r="E11" t="s">
        <v>37</v>
      </c>
      <c r="F11" s="1">
        <v>30000</v>
      </c>
    </row>
    <row r="12" spans="2:6" x14ac:dyDescent="0.35">
      <c r="B12" t="s">
        <v>38</v>
      </c>
      <c r="C12" s="1">
        <v>40000</v>
      </c>
      <c r="E12" t="s">
        <v>38</v>
      </c>
      <c r="F12" s="1">
        <v>20000</v>
      </c>
    </row>
    <row r="13" spans="2:6" x14ac:dyDescent="0.35">
      <c r="B13" t="s">
        <v>39</v>
      </c>
      <c r="C13" s="1">
        <v>0</v>
      </c>
      <c r="E13" t="s">
        <v>39</v>
      </c>
      <c r="F13" s="1">
        <v>15000</v>
      </c>
    </row>
    <row r="14" spans="2:6" x14ac:dyDescent="0.35">
      <c r="B14" s="15" t="s">
        <v>60</v>
      </c>
      <c r="C14" s="1">
        <f>50*C8*0</f>
        <v>0</v>
      </c>
      <c r="E14" s="15" t="s">
        <v>60</v>
      </c>
      <c r="F14" s="1">
        <f>50*F8*0</f>
        <v>0</v>
      </c>
    </row>
    <row r="15" spans="2:6" x14ac:dyDescent="0.35">
      <c r="B15" s="2" t="s">
        <v>40</v>
      </c>
      <c r="C15" s="9">
        <f>SUM(C10:C14)</f>
        <v>1755646</v>
      </c>
      <c r="E15" s="2" t="s">
        <v>40</v>
      </c>
      <c r="F15" s="9">
        <f>SUM(F10:F14)</f>
        <v>1039404</v>
      </c>
    </row>
    <row r="17" spans="2:3" x14ac:dyDescent="0.35">
      <c r="B17" t="s">
        <v>41</v>
      </c>
      <c r="C17" s="5">
        <f>C15</f>
        <v>1755646</v>
      </c>
    </row>
    <row r="18" spans="2:3" x14ac:dyDescent="0.35">
      <c r="B18" t="s">
        <v>42</v>
      </c>
      <c r="C18" s="5">
        <f>F15</f>
        <v>1039404</v>
      </c>
    </row>
    <row r="19" spans="2:3" x14ac:dyDescent="0.35">
      <c r="B19" s="3" t="s">
        <v>43</v>
      </c>
      <c r="C19" s="8">
        <f>C17-C18</f>
        <v>716242</v>
      </c>
    </row>
  </sheetData>
  <mergeCells count="2">
    <mergeCell ref="B2:C2"/>
    <mergeCell ref="E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48CD0-5187-4E9B-AB88-218957DBEFDE}">
  <dimension ref="B1:O13"/>
  <sheetViews>
    <sheetView workbookViewId="0">
      <selection activeCell="K20" sqref="K20"/>
    </sheetView>
  </sheetViews>
  <sheetFormatPr baseColWidth="10" defaultRowHeight="14.5" x14ac:dyDescent="0.35"/>
  <cols>
    <col min="2" max="2" width="15.36328125" bestFit="1" customWidth="1"/>
    <col min="8" max="8" width="9.08984375" bestFit="1" customWidth="1"/>
    <col min="9" max="9" width="11.26953125" bestFit="1" customWidth="1"/>
  </cols>
  <sheetData>
    <row r="1" spans="2:15" x14ac:dyDescent="0.35">
      <c r="H1" s="16" t="s">
        <v>72</v>
      </c>
      <c r="I1" s="16"/>
      <c r="K1" s="16" t="s">
        <v>73</v>
      </c>
      <c r="L1" s="16"/>
      <c r="N1" s="16" t="s">
        <v>71</v>
      </c>
      <c r="O1" s="16"/>
    </row>
    <row r="2" spans="2:15" x14ac:dyDescent="0.35">
      <c r="B2" t="s">
        <v>44</v>
      </c>
      <c r="C2">
        <v>20</v>
      </c>
      <c r="E2" t="s">
        <v>68</v>
      </c>
      <c r="F2" s="5">
        <f>'CAPEX 15%'!C13</f>
        <v>3652500</v>
      </c>
      <c r="H2" s="3" t="s">
        <v>48</v>
      </c>
      <c r="I2" s="8">
        <f>SUM($C$9:$L$9)-F2</f>
        <v>1153542.1213406175</v>
      </c>
      <c r="K2" s="3" t="s">
        <v>48</v>
      </c>
      <c r="L2" s="8">
        <f>SUM($C$9:$L$9)+SUM($C$13:$G$13)-F2</f>
        <v>2478158.13439776</v>
      </c>
      <c r="N2" s="3" t="s">
        <v>48</v>
      </c>
      <c r="O2" s="8">
        <f>SUM($C$9:$L$9)+SUM($C$13:$L$13)-F2</f>
        <v>3379669.5354062933</v>
      </c>
    </row>
    <row r="3" spans="2:15" x14ac:dyDescent="0.35">
      <c r="B3" t="s">
        <v>46</v>
      </c>
      <c r="C3" s="10">
        <v>0.08</v>
      </c>
      <c r="E3" t="s">
        <v>69</v>
      </c>
      <c r="F3" s="5">
        <f>'CAPEX 15%'!F13</f>
        <v>3302500</v>
      </c>
      <c r="H3" s="3" t="s">
        <v>49</v>
      </c>
      <c r="I3" s="8">
        <f t="shared" ref="I3:I4" si="0">SUM($C$9:$L$9)-F3</f>
        <v>1503542.1213406175</v>
      </c>
      <c r="K3" s="3" t="s">
        <v>49</v>
      </c>
      <c r="L3" s="8">
        <f t="shared" ref="L3:L4" si="1">SUM($C$9:$L$9)+SUM($C$13:$G$13)-F3</f>
        <v>2828158.13439776</v>
      </c>
      <c r="N3" s="3" t="s">
        <v>49</v>
      </c>
      <c r="O3" s="8">
        <f>SUM($C$9:$L$9)+SUM($C$13:$L$13)-F3</f>
        <v>3729669.5354062933</v>
      </c>
    </row>
    <row r="4" spans="2:15" x14ac:dyDescent="0.35">
      <c r="B4" t="s">
        <v>45</v>
      </c>
      <c r="C4" s="5">
        <f>'OPEX 15%'!C19</f>
        <v>716242</v>
      </c>
      <c r="E4" t="s">
        <v>70</v>
      </c>
      <c r="F4" s="5">
        <f>'CAPEX 15%'!I13</f>
        <v>4772500</v>
      </c>
      <c r="H4" s="3" t="s">
        <v>50</v>
      </c>
      <c r="I4" s="8">
        <f t="shared" si="0"/>
        <v>33542.121340617537</v>
      </c>
      <c r="K4" s="3" t="s">
        <v>50</v>
      </c>
      <c r="L4" s="8">
        <f t="shared" si="1"/>
        <v>1358158.13439776</v>
      </c>
      <c r="N4" s="3" t="s">
        <v>50</v>
      </c>
      <c r="O4" s="8">
        <f>SUM($C$9:$L$9)+SUM($C$13:$L$13)-F4</f>
        <v>2259669.5354062933</v>
      </c>
    </row>
    <row r="7" spans="2:15" x14ac:dyDescent="0.35">
      <c r="C7" s="16" t="s">
        <v>47</v>
      </c>
      <c r="D7" s="16"/>
      <c r="E7" s="16"/>
      <c r="F7" s="16"/>
      <c r="G7" s="16"/>
      <c r="H7" s="16"/>
      <c r="I7" s="16"/>
      <c r="J7" s="16"/>
      <c r="K7" s="16"/>
      <c r="L7" s="16"/>
    </row>
    <row r="8" spans="2:15" x14ac:dyDescent="0.35"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</row>
    <row r="9" spans="2:15" x14ac:dyDescent="0.35">
      <c r="C9" s="5">
        <f t="shared" ref="C9:L9" si="2">$C$4/((1+$C$3)^C8)</f>
        <v>663187.03703703696</v>
      </c>
      <c r="D9" s="5">
        <f t="shared" si="2"/>
        <v>614062.07133058982</v>
      </c>
      <c r="E9" s="5">
        <f t="shared" si="2"/>
        <v>568575.99197276833</v>
      </c>
      <c r="F9" s="5">
        <f t="shared" si="2"/>
        <v>526459.25182663731</v>
      </c>
      <c r="G9" s="5">
        <f t="shared" si="2"/>
        <v>487462.27020984935</v>
      </c>
      <c r="H9" s="5">
        <f t="shared" si="2"/>
        <v>451353.95389800856</v>
      </c>
      <c r="I9" s="5">
        <f t="shared" si="2"/>
        <v>417920.32768334128</v>
      </c>
      <c r="J9" s="5">
        <f t="shared" si="2"/>
        <v>386963.26637346414</v>
      </c>
      <c r="K9" s="5">
        <f t="shared" si="2"/>
        <v>358299.32071617048</v>
      </c>
      <c r="L9" s="5">
        <f t="shared" si="2"/>
        <v>331758.63029275043</v>
      </c>
    </row>
    <row r="12" spans="2:15" x14ac:dyDescent="0.35">
      <c r="C12">
        <v>11</v>
      </c>
      <c r="D12">
        <v>12</v>
      </c>
      <c r="E12">
        <v>13</v>
      </c>
      <c r="F12">
        <v>14</v>
      </c>
      <c r="G12">
        <v>15</v>
      </c>
      <c r="H12">
        <v>16</v>
      </c>
      <c r="I12">
        <v>17</v>
      </c>
      <c r="J12">
        <v>18</v>
      </c>
      <c r="K12">
        <v>19</v>
      </c>
      <c r="L12">
        <v>20</v>
      </c>
    </row>
    <row r="13" spans="2:15" x14ac:dyDescent="0.35">
      <c r="C13" s="5">
        <f t="shared" ref="C13:L13" si="3">$C$4/((1+$C$3)^C12)</f>
        <v>307183.91693773185</v>
      </c>
      <c r="D13" s="5">
        <f t="shared" si="3"/>
        <v>284429.5527201221</v>
      </c>
      <c r="E13" s="5">
        <f t="shared" si="3"/>
        <v>263360.69696307601</v>
      </c>
      <c r="F13" s="5">
        <f t="shared" si="3"/>
        <v>243852.49718803327</v>
      </c>
      <c r="G13" s="5">
        <f t="shared" si="3"/>
        <v>225789.34924817894</v>
      </c>
      <c r="H13" s="5">
        <f t="shared" si="3"/>
        <v>209064.21226683239</v>
      </c>
      <c r="I13" s="5">
        <f t="shared" si="3"/>
        <v>193577.97432114108</v>
      </c>
      <c r="J13" s="5">
        <f t="shared" si="3"/>
        <v>179238.86511216764</v>
      </c>
      <c r="K13" s="5">
        <f t="shared" si="3"/>
        <v>165961.91214089596</v>
      </c>
      <c r="L13" s="5">
        <f t="shared" si="3"/>
        <v>153668.43716749627</v>
      </c>
    </row>
  </sheetData>
  <mergeCells count="4">
    <mergeCell ref="C7:L7"/>
    <mergeCell ref="H1:I1"/>
    <mergeCell ref="K1:L1"/>
    <mergeCell ref="N1:O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641AB-FA05-4689-970F-41940E5E4D56}">
  <dimension ref="B1:V19"/>
  <sheetViews>
    <sheetView tabSelected="1" workbookViewId="0">
      <selection activeCell="K1" sqref="K1:L1"/>
    </sheetView>
  </sheetViews>
  <sheetFormatPr baseColWidth="10" defaultRowHeight="14.5" x14ac:dyDescent="0.35"/>
  <cols>
    <col min="2" max="2" width="15.36328125" bestFit="1" customWidth="1"/>
    <col min="9" max="9" width="11.26953125" bestFit="1" customWidth="1"/>
  </cols>
  <sheetData>
    <row r="1" spans="2:22" x14ac:dyDescent="0.35">
      <c r="E1" s="16" t="s">
        <v>72</v>
      </c>
      <c r="F1" s="16"/>
      <c r="H1" s="16" t="s">
        <v>73</v>
      </c>
      <c r="I1" s="16"/>
      <c r="K1" s="16" t="s">
        <v>71</v>
      </c>
      <c r="L1" s="16"/>
    </row>
    <row r="2" spans="2:22" x14ac:dyDescent="0.35">
      <c r="B2" t="s">
        <v>45</v>
      </c>
      <c r="C2" s="5">
        <f>'OPEX 15%'!C19</f>
        <v>716242</v>
      </c>
      <c r="E2" s="3" t="s">
        <v>51</v>
      </c>
      <c r="F2" s="11">
        <f>IRR(B9:L9)</f>
        <v>0.14583203543754997</v>
      </c>
      <c r="H2" s="3" t="s">
        <v>51</v>
      </c>
      <c r="I2" s="11">
        <f>IRR(B9:Q9)</f>
        <v>0.17964512172791269</v>
      </c>
      <c r="K2" s="3" t="s">
        <v>51</v>
      </c>
      <c r="L2" s="11">
        <f>IRR(B9:V9)</f>
        <v>0.19005510390504865</v>
      </c>
    </row>
    <row r="3" spans="2:22" x14ac:dyDescent="0.35">
      <c r="C3" s="10"/>
      <c r="E3" s="3" t="s">
        <v>55</v>
      </c>
      <c r="F3" s="11">
        <f>IRR(B14:L14)</f>
        <v>0.17284089361257693</v>
      </c>
      <c r="H3" s="3" t="s">
        <v>55</v>
      </c>
      <c r="I3" s="11">
        <f>IRR(B14:Q14)</f>
        <v>0.20338439889657356</v>
      </c>
      <c r="K3" s="3" t="s">
        <v>55</v>
      </c>
      <c r="L3" s="11">
        <f>IRR(B14:V14)</f>
        <v>0.21226254296401237</v>
      </c>
    </row>
    <row r="4" spans="2:22" x14ac:dyDescent="0.35">
      <c r="E4" s="3" t="s">
        <v>56</v>
      </c>
      <c r="F4" s="11">
        <f>IRR(B19:L19)</f>
        <v>8.1555704598693213E-2</v>
      </c>
      <c r="H4" s="3" t="s">
        <v>56</v>
      </c>
      <c r="I4" s="11">
        <f>IRR(B19:Q19)</f>
        <v>0.12413179874637659</v>
      </c>
      <c r="K4" s="3" t="s">
        <v>56</v>
      </c>
      <c r="L4" s="11">
        <f>IRR(B19:V19)</f>
        <v>0.13895488560750513</v>
      </c>
    </row>
    <row r="7" spans="2:22" x14ac:dyDescent="0.35">
      <c r="C7" s="16" t="s">
        <v>52</v>
      </c>
      <c r="D7" s="16"/>
      <c r="E7" s="16"/>
      <c r="F7" s="16"/>
      <c r="G7" s="16"/>
      <c r="H7" s="16"/>
      <c r="I7" s="16"/>
      <c r="J7" s="16"/>
      <c r="K7" s="16"/>
      <c r="L7" s="16"/>
    </row>
    <row r="8" spans="2:22" x14ac:dyDescent="0.3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14</v>
      </c>
      <c r="Q8">
        <v>15</v>
      </c>
      <c r="R8">
        <v>16</v>
      </c>
      <c r="S8">
        <v>17</v>
      </c>
      <c r="T8">
        <v>18</v>
      </c>
      <c r="U8">
        <v>19</v>
      </c>
      <c r="V8">
        <v>20</v>
      </c>
    </row>
    <row r="9" spans="2:22" x14ac:dyDescent="0.35">
      <c r="B9" s="5">
        <f>-'CAPEX 15%'!C13</f>
        <v>-3652500</v>
      </c>
      <c r="C9" s="5">
        <f t="shared" ref="C9:V9" si="0">$C$2</f>
        <v>716242</v>
      </c>
      <c r="D9" s="5">
        <f t="shared" si="0"/>
        <v>716242</v>
      </c>
      <c r="E9" s="5">
        <f t="shared" si="0"/>
        <v>716242</v>
      </c>
      <c r="F9" s="5">
        <f t="shared" si="0"/>
        <v>716242</v>
      </c>
      <c r="G9" s="5">
        <f t="shared" si="0"/>
        <v>716242</v>
      </c>
      <c r="H9" s="5">
        <f t="shared" si="0"/>
        <v>716242</v>
      </c>
      <c r="I9" s="5">
        <f t="shared" si="0"/>
        <v>716242</v>
      </c>
      <c r="J9" s="5">
        <f t="shared" si="0"/>
        <v>716242</v>
      </c>
      <c r="K9" s="5">
        <f t="shared" si="0"/>
        <v>716242</v>
      </c>
      <c r="L9" s="5">
        <f t="shared" si="0"/>
        <v>716242</v>
      </c>
      <c r="M9" s="5">
        <f t="shared" si="0"/>
        <v>716242</v>
      </c>
      <c r="N9" s="5">
        <f t="shared" si="0"/>
        <v>716242</v>
      </c>
      <c r="O9" s="5">
        <f t="shared" si="0"/>
        <v>716242</v>
      </c>
      <c r="P9" s="5">
        <f t="shared" si="0"/>
        <v>716242</v>
      </c>
      <c r="Q9" s="5">
        <f t="shared" si="0"/>
        <v>716242</v>
      </c>
      <c r="R9" s="5">
        <f t="shared" si="0"/>
        <v>716242</v>
      </c>
      <c r="S9" s="5">
        <f t="shared" si="0"/>
        <v>716242</v>
      </c>
      <c r="T9" s="5">
        <f t="shared" si="0"/>
        <v>716242</v>
      </c>
      <c r="U9" s="5">
        <f t="shared" si="0"/>
        <v>716242</v>
      </c>
      <c r="V9" s="5">
        <f t="shared" si="0"/>
        <v>716242</v>
      </c>
    </row>
    <row r="12" spans="2:22" x14ac:dyDescent="0.35">
      <c r="C12" s="16" t="s">
        <v>53</v>
      </c>
      <c r="D12" s="16"/>
      <c r="E12" s="16"/>
      <c r="F12" s="16"/>
      <c r="G12" s="16"/>
      <c r="H12" s="16"/>
      <c r="I12" s="16"/>
      <c r="J12" s="16"/>
      <c r="K12" s="16"/>
      <c r="L12" s="16"/>
    </row>
    <row r="13" spans="2:22" x14ac:dyDescent="0.35"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</row>
    <row r="14" spans="2:22" x14ac:dyDescent="0.35">
      <c r="B14" s="5">
        <f>-'CAPEX 15%'!F13</f>
        <v>-3302500</v>
      </c>
      <c r="C14" s="5">
        <f t="shared" ref="C14:V14" si="1">$C$2</f>
        <v>716242</v>
      </c>
      <c r="D14" s="5">
        <f t="shared" si="1"/>
        <v>716242</v>
      </c>
      <c r="E14" s="5">
        <f t="shared" si="1"/>
        <v>716242</v>
      </c>
      <c r="F14" s="5">
        <f t="shared" si="1"/>
        <v>716242</v>
      </c>
      <c r="G14" s="5">
        <f t="shared" si="1"/>
        <v>716242</v>
      </c>
      <c r="H14" s="5">
        <f t="shared" si="1"/>
        <v>716242</v>
      </c>
      <c r="I14" s="5">
        <f t="shared" si="1"/>
        <v>716242</v>
      </c>
      <c r="J14" s="5">
        <f t="shared" si="1"/>
        <v>716242</v>
      </c>
      <c r="K14" s="5">
        <f t="shared" si="1"/>
        <v>716242</v>
      </c>
      <c r="L14" s="5">
        <f t="shared" si="1"/>
        <v>716242</v>
      </c>
      <c r="M14" s="5">
        <f t="shared" si="1"/>
        <v>716242</v>
      </c>
      <c r="N14" s="5">
        <f t="shared" si="1"/>
        <v>716242</v>
      </c>
      <c r="O14" s="5">
        <f t="shared" si="1"/>
        <v>716242</v>
      </c>
      <c r="P14" s="5">
        <f t="shared" si="1"/>
        <v>716242</v>
      </c>
      <c r="Q14" s="5">
        <f t="shared" si="1"/>
        <v>716242</v>
      </c>
      <c r="R14" s="5">
        <f t="shared" si="1"/>
        <v>716242</v>
      </c>
      <c r="S14" s="5">
        <f t="shared" si="1"/>
        <v>716242</v>
      </c>
      <c r="T14" s="5">
        <f t="shared" si="1"/>
        <v>716242</v>
      </c>
      <c r="U14" s="5">
        <f t="shared" si="1"/>
        <v>716242</v>
      </c>
      <c r="V14" s="5">
        <f t="shared" si="1"/>
        <v>716242</v>
      </c>
    </row>
    <row r="17" spans="2:22" x14ac:dyDescent="0.35">
      <c r="C17" s="16" t="s">
        <v>54</v>
      </c>
      <c r="D17" s="16"/>
      <c r="E17" s="16"/>
      <c r="F17" s="16"/>
      <c r="G17" s="16"/>
      <c r="H17" s="16"/>
      <c r="I17" s="16"/>
      <c r="J17" s="16"/>
      <c r="K17" s="16"/>
      <c r="L17" s="16"/>
    </row>
    <row r="18" spans="2:22" x14ac:dyDescent="0.35">
      <c r="B18">
        <v>0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v>7</v>
      </c>
      <c r="J18">
        <v>8</v>
      </c>
      <c r="K18">
        <v>9</v>
      </c>
      <c r="L18">
        <v>10</v>
      </c>
      <c r="M18">
        <v>11</v>
      </c>
      <c r="N18">
        <v>12</v>
      </c>
      <c r="O18">
        <v>13</v>
      </c>
      <c r="P18">
        <v>14</v>
      </c>
      <c r="Q18">
        <v>15</v>
      </c>
      <c r="R18">
        <v>16</v>
      </c>
      <c r="S18">
        <v>17</v>
      </c>
      <c r="T18">
        <v>18</v>
      </c>
      <c r="U18">
        <v>19</v>
      </c>
      <c r="V18">
        <v>20</v>
      </c>
    </row>
    <row r="19" spans="2:22" x14ac:dyDescent="0.35">
      <c r="B19" s="5">
        <f>-'CAPEX 15%'!I13</f>
        <v>-4772500</v>
      </c>
      <c r="C19" s="5">
        <f t="shared" ref="C19:V19" si="2">$C$2</f>
        <v>716242</v>
      </c>
      <c r="D19" s="5">
        <f t="shared" si="2"/>
        <v>716242</v>
      </c>
      <c r="E19" s="5">
        <f t="shared" si="2"/>
        <v>716242</v>
      </c>
      <c r="F19" s="5">
        <f t="shared" si="2"/>
        <v>716242</v>
      </c>
      <c r="G19" s="5">
        <f t="shared" si="2"/>
        <v>716242</v>
      </c>
      <c r="H19" s="5">
        <f t="shared" si="2"/>
        <v>716242</v>
      </c>
      <c r="I19" s="5">
        <f t="shared" si="2"/>
        <v>716242</v>
      </c>
      <c r="J19" s="5">
        <f t="shared" si="2"/>
        <v>716242</v>
      </c>
      <c r="K19" s="5">
        <f t="shared" si="2"/>
        <v>716242</v>
      </c>
      <c r="L19" s="5">
        <f t="shared" si="2"/>
        <v>716242</v>
      </c>
      <c r="M19" s="5">
        <f t="shared" si="2"/>
        <v>716242</v>
      </c>
      <c r="N19" s="5">
        <f t="shared" si="2"/>
        <v>716242</v>
      </c>
      <c r="O19" s="5">
        <f t="shared" si="2"/>
        <v>716242</v>
      </c>
      <c r="P19" s="5">
        <f t="shared" si="2"/>
        <v>716242</v>
      </c>
      <c r="Q19" s="5">
        <f t="shared" si="2"/>
        <v>716242</v>
      </c>
      <c r="R19" s="5">
        <f t="shared" si="2"/>
        <v>716242</v>
      </c>
      <c r="S19" s="5">
        <f t="shared" si="2"/>
        <v>716242</v>
      </c>
      <c r="T19" s="5">
        <f t="shared" si="2"/>
        <v>716242</v>
      </c>
      <c r="U19" s="5">
        <f t="shared" si="2"/>
        <v>716242</v>
      </c>
      <c r="V19" s="5">
        <f t="shared" si="2"/>
        <v>716242</v>
      </c>
    </row>
  </sheetData>
  <mergeCells count="6">
    <mergeCell ref="C7:L7"/>
    <mergeCell ref="C12:L12"/>
    <mergeCell ref="C17:L17"/>
    <mergeCell ref="E1:F1"/>
    <mergeCell ref="H1:I1"/>
    <mergeCell ref="K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EBD9-4AB4-44E4-A602-35786004721C}">
  <dimension ref="B2:L32"/>
  <sheetViews>
    <sheetView workbookViewId="0">
      <selection activeCell="C3" sqref="C3"/>
    </sheetView>
  </sheetViews>
  <sheetFormatPr baseColWidth="10" defaultRowHeight="14.5" x14ac:dyDescent="0.35"/>
  <cols>
    <col min="2" max="2" width="15.36328125" bestFit="1" customWidth="1"/>
    <col min="3" max="5" width="11.26953125" bestFit="1" customWidth="1"/>
    <col min="6" max="7" width="11.6328125" bestFit="1" customWidth="1"/>
    <col min="8" max="9" width="11.26953125" bestFit="1" customWidth="1"/>
    <col min="11" max="11" width="11.1796875" customWidth="1"/>
    <col min="12" max="12" width="11.6328125" bestFit="1" customWidth="1"/>
  </cols>
  <sheetData>
    <row r="2" spans="2:12" x14ac:dyDescent="0.35">
      <c r="B2" t="s">
        <v>44</v>
      </c>
      <c r="C2">
        <v>20</v>
      </c>
      <c r="E2" t="s">
        <v>68</v>
      </c>
      <c r="F2" s="5">
        <f>'CAPEX 15%'!C13</f>
        <v>3652500</v>
      </c>
      <c r="H2" s="3" t="s">
        <v>57</v>
      </c>
      <c r="I2" s="12">
        <f>F2/$C$4</f>
        <v>5.0995333979297497</v>
      </c>
    </row>
    <row r="3" spans="2:12" x14ac:dyDescent="0.35">
      <c r="B3" t="s">
        <v>46</v>
      </c>
      <c r="C3" s="10">
        <v>0.1</v>
      </c>
      <c r="E3" t="s">
        <v>69</v>
      </c>
      <c r="F3" s="5">
        <f>'CAPEX 15%'!F13</f>
        <v>3302500</v>
      </c>
      <c r="H3" s="3" t="s">
        <v>58</v>
      </c>
      <c r="I3" s="12">
        <f t="shared" ref="I3:I4" si="0">F3/$C$4</f>
        <v>4.6108717444662561</v>
      </c>
    </row>
    <row r="4" spans="2:12" x14ac:dyDescent="0.35">
      <c r="B4" t="s">
        <v>45</v>
      </c>
      <c r="C4" s="5">
        <f>'OPEX 15%'!C19</f>
        <v>716242</v>
      </c>
      <c r="E4" t="s">
        <v>70</v>
      </c>
      <c r="F4" s="5">
        <f>'CAPEX 15%'!I13</f>
        <v>4772500</v>
      </c>
      <c r="H4" s="3" t="s">
        <v>59</v>
      </c>
      <c r="I4" s="12">
        <f t="shared" si="0"/>
        <v>6.6632506890129317</v>
      </c>
    </row>
    <row r="7" spans="2:12" x14ac:dyDescent="0.35">
      <c r="C7" s="16" t="s">
        <v>57</v>
      </c>
      <c r="D7" s="16"/>
      <c r="E7" s="16"/>
      <c r="F7" s="16"/>
      <c r="G7" s="16"/>
      <c r="H7" s="16"/>
      <c r="I7" s="16"/>
      <c r="J7" s="16"/>
      <c r="K7" s="16"/>
      <c r="L7" s="16"/>
    </row>
    <row r="8" spans="2:12" x14ac:dyDescent="0.3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 s="14">
        <v>8</v>
      </c>
      <c r="K8">
        <v>9</v>
      </c>
      <c r="L8">
        <v>10</v>
      </c>
    </row>
    <row r="9" spans="2:12" x14ac:dyDescent="0.35">
      <c r="B9" s="5">
        <f>-F2</f>
        <v>-3652500</v>
      </c>
      <c r="C9" s="5">
        <f>$C$4/((1+$C$3)^C8)+B9</f>
        <v>-3001370.9090909092</v>
      </c>
      <c r="D9" s="5">
        <f t="shared" ref="D9:L9" si="1">$C$4/((1+$C$3)^D8)+C9</f>
        <v>-2409435.3719008267</v>
      </c>
      <c r="E9" s="5">
        <f t="shared" si="1"/>
        <v>-1871312.1562734791</v>
      </c>
      <c r="F9" s="5">
        <f t="shared" si="1"/>
        <v>-1382109.2329758904</v>
      </c>
      <c r="G9" s="5">
        <f t="shared" si="1"/>
        <v>-937379.3027053551</v>
      </c>
      <c r="H9" s="5">
        <f t="shared" si="1"/>
        <v>-533079.3660957776</v>
      </c>
      <c r="I9" s="5">
        <f t="shared" si="1"/>
        <v>-165533.96917797998</v>
      </c>
      <c r="J9" s="13">
        <f t="shared" si="1"/>
        <v>168598.20983819972</v>
      </c>
      <c r="K9" s="5">
        <f t="shared" si="1"/>
        <v>472354.73621654487</v>
      </c>
      <c r="L9" s="5">
        <f t="shared" si="1"/>
        <v>748497.03292413137</v>
      </c>
    </row>
    <row r="12" spans="2:12" x14ac:dyDescent="0.35">
      <c r="C12">
        <v>11</v>
      </c>
      <c r="D12">
        <v>12</v>
      </c>
      <c r="E12">
        <v>13</v>
      </c>
      <c r="F12">
        <v>14</v>
      </c>
      <c r="G12">
        <v>15</v>
      </c>
      <c r="H12">
        <v>16</v>
      </c>
      <c r="I12">
        <v>17</v>
      </c>
      <c r="J12">
        <v>18</v>
      </c>
      <c r="K12">
        <v>19</v>
      </c>
      <c r="L12">
        <v>20</v>
      </c>
    </row>
    <row r="13" spans="2:12" x14ac:dyDescent="0.35">
      <c r="C13" s="5">
        <f>$C$4/((1+$C$3)^C12)+L9</f>
        <v>999535.48447648273</v>
      </c>
      <c r="D13" s="5">
        <f t="shared" ref="D13:L13" si="2">$C$4/((1+$C$3)^D12)+C13</f>
        <v>1227752.2586149839</v>
      </c>
      <c r="E13" s="5">
        <f t="shared" si="2"/>
        <v>1435222.0532863485</v>
      </c>
      <c r="F13" s="5">
        <f t="shared" si="2"/>
        <v>1623830.9575330436</v>
      </c>
      <c r="G13" s="5">
        <f t="shared" si="2"/>
        <v>1795293.597757312</v>
      </c>
      <c r="H13" s="5">
        <f t="shared" si="2"/>
        <v>1951168.7252339195</v>
      </c>
      <c r="I13" s="5">
        <f t="shared" si="2"/>
        <v>2092873.38657629</v>
      </c>
      <c r="J13" s="5">
        <f t="shared" si="2"/>
        <v>2221695.8059784449</v>
      </c>
      <c r="K13" s="5">
        <f t="shared" si="2"/>
        <v>2338807.0963440402</v>
      </c>
      <c r="L13" s="5">
        <f t="shared" si="2"/>
        <v>2445271.905767309</v>
      </c>
    </row>
    <row r="16" spans="2:12" x14ac:dyDescent="0.35">
      <c r="C16" s="16" t="s">
        <v>58</v>
      </c>
      <c r="D16" s="16"/>
      <c r="E16" s="16"/>
      <c r="F16" s="16"/>
      <c r="G16" s="16"/>
      <c r="H16" s="16"/>
      <c r="I16" s="16"/>
      <c r="J16" s="16"/>
      <c r="K16" s="16"/>
      <c r="L16" s="16"/>
    </row>
    <row r="17" spans="2:12" x14ac:dyDescent="0.35">
      <c r="B17">
        <v>0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 s="14">
        <v>7</v>
      </c>
      <c r="J17">
        <v>8</v>
      </c>
      <c r="K17">
        <v>9</v>
      </c>
      <c r="L17">
        <v>10</v>
      </c>
    </row>
    <row r="18" spans="2:12" x14ac:dyDescent="0.35">
      <c r="B18" s="5">
        <f>-F3</f>
        <v>-3302500</v>
      </c>
      <c r="C18" s="5">
        <f t="shared" ref="C18:L18" si="3">$C$4/((1+$C$3)^C17)+B18</f>
        <v>-2651370.9090909092</v>
      </c>
      <c r="D18" s="5">
        <f t="shared" si="3"/>
        <v>-2059435.3719008267</v>
      </c>
      <c r="E18" s="5">
        <f t="shared" si="3"/>
        <v>-1521312.1562734791</v>
      </c>
      <c r="F18" s="5">
        <f t="shared" si="3"/>
        <v>-1032109.2329758903</v>
      </c>
      <c r="G18" s="5">
        <f t="shared" si="3"/>
        <v>-587379.30270535499</v>
      </c>
      <c r="H18" s="5">
        <f t="shared" si="3"/>
        <v>-183079.36609577754</v>
      </c>
      <c r="I18" s="13">
        <f t="shared" si="3"/>
        <v>184466.03082202008</v>
      </c>
      <c r="J18" s="5">
        <f t="shared" si="3"/>
        <v>518598.20983819978</v>
      </c>
      <c r="K18" s="5">
        <f t="shared" si="3"/>
        <v>822354.73621654487</v>
      </c>
      <c r="L18" s="5">
        <f t="shared" si="3"/>
        <v>1098497.0329241315</v>
      </c>
    </row>
    <row r="21" spans="2:12" x14ac:dyDescent="0.35">
      <c r="C21">
        <v>11</v>
      </c>
      <c r="D21">
        <v>12</v>
      </c>
      <c r="E21">
        <v>13</v>
      </c>
      <c r="F21">
        <v>14</v>
      </c>
      <c r="G21">
        <v>15</v>
      </c>
      <c r="H21">
        <v>16</v>
      </c>
      <c r="I21">
        <v>17</v>
      </c>
      <c r="J21">
        <v>18</v>
      </c>
      <c r="K21">
        <v>19</v>
      </c>
      <c r="L21">
        <v>20</v>
      </c>
    </row>
    <row r="22" spans="2:12" x14ac:dyDescent="0.35">
      <c r="C22" s="5">
        <f>$C$4/((1+$C$3)^C21)+L18</f>
        <v>1349535.4844764827</v>
      </c>
      <c r="D22" s="5">
        <f t="shared" ref="D22:L22" si="4">$C$4/((1+$C$3)^D21)+C22</f>
        <v>1577752.2586149839</v>
      </c>
      <c r="E22" s="5">
        <f t="shared" si="4"/>
        <v>1785222.0532863485</v>
      </c>
      <c r="F22" s="5">
        <f t="shared" si="4"/>
        <v>1973830.9575330436</v>
      </c>
      <c r="G22" s="5">
        <f t="shared" si="4"/>
        <v>2145293.597757312</v>
      </c>
      <c r="H22" s="5">
        <f t="shared" si="4"/>
        <v>2301168.7252339195</v>
      </c>
      <c r="I22" s="5">
        <f t="shared" si="4"/>
        <v>2442873.3865762898</v>
      </c>
      <c r="J22" s="5">
        <f t="shared" si="4"/>
        <v>2571695.8059784449</v>
      </c>
      <c r="K22" s="5">
        <f t="shared" si="4"/>
        <v>2688807.0963440402</v>
      </c>
      <c r="L22" s="5">
        <f t="shared" si="4"/>
        <v>2795271.905767309</v>
      </c>
    </row>
    <row r="26" spans="2:12" x14ac:dyDescent="0.35">
      <c r="C26" s="16" t="s">
        <v>59</v>
      </c>
      <c r="D26" s="16"/>
      <c r="E26" s="16"/>
      <c r="F26" s="16"/>
      <c r="G26" s="16"/>
      <c r="H26" s="16"/>
      <c r="I26" s="16"/>
      <c r="J26" s="16"/>
      <c r="K26" s="16"/>
      <c r="L26" s="16"/>
    </row>
    <row r="27" spans="2:12" x14ac:dyDescent="0.35">
      <c r="B27">
        <v>0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</row>
    <row r="28" spans="2:12" x14ac:dyDescent="0.35">
      <c r="B28" s="5">
        <f>-F4</f>
        <v>-4772500</v>
      </c>
      <c r="C28" s="5">
        <f t="shared" ref="C28:L28" si="5">$C$4/((1+$C$3)^C27)+B28</f>
        <v>-4121370.9090909092</v>
      </c>
      <c r="D28" s="5">
        <f t="shared" si="5"/>
        <v>-3529435.3719008267</v>
      </c>
      <c r="E28" s="5">
        <f t="shared" si="5"/>
        <v>-2991312.1562734791</v>
      </c>
      <c r="F28" s="5">
        <f t="shared" si="5"/>
        <v>-2502109.2329758904</v>
      </c>
      <c r="G28" s="5">
        <f t="shared" si="5"/>
        <v>-2057379.302705355</v>
      </c>
      <c r="H28" s="5">
        <f t="shared" si="5"/>
        <v>-1653079.3660957776</v>
      </c>
      <c r="I28" s="5">
        <f t="shared" si="5"/>
        <v>-1285533.96917798</v>
      </c>
      <c r="J28" s="5">
        <f t="shared" si="5"/>
        <v>-951401.79016180034</v>
      </c>
      <c r="K28" s="5">
        <f t="shared" si="5"/>
        <v>-647645.26378345513</v>
      </c>
      <c r="L28" s="5">
        <f t="shared" si="5"/>
        <v>-371502.96707586863</v>
      </c>
    </row>
    <row r="31" spans="2:12" x14ac:dyDescent="0.35">
      <c r="C31">
        <v>11</v>
      </c>
      <c r="D31" s="14">
        <v>12</v>
      </c>
      <c r="E31">
        <v>13</v>
      </c>
      <c r="F31">
        <v>14</v>
      </c>
      <c r="G31">
        <v>15</v>
      </c>
      <c r="H31">
        <v>16</v>
      </c>
      <c r="I31">
        <v>17</v>
      </c>
      <c r="J31">
        <v>18</v>
      </c>
      <c r="K31">
        <v>19</v>
      </c>
      <c r="L31">
        <v>20</v>
      </c>
    </row>
    <row r="32" spans="2:12" x14ac:dyDescent="0.35">
      <c r="C32" s="5">
        <f>$C$4/((1+$C$3)^C31)+L28</f>
        <v>-120464.51552351733</v>
      </c>
      <c r="D32" s="13">
        <f t="shared" ref="D32:L32" si="6">$C$4/((1+$C$3)^D31)+C32</f>
        <v>107752.25861498388</v>
      </c>
      <c r="E32" s="5">
        <f t="shared" si="6"/>
        <v>315222.05328634859</v>
      </c>
      <c r="F32" s="5">
        <f t="shared" si="6"/>
        <v>503830.95753304375</v>
      </c>
      <c r="G32" s="5">
        <f t="shared" si="6"/>
        <v>675293.59775731212</v>
      </c>
      <c r="H32" s="5">
        <f t="shared" si="6"/>
        <v>831168.72523391969</v>
      </c>
      <c r="I32" s="5">
        <f t="shared" si="6"/>
        <v>972873.38657629024</v>
      </c>
      <c r="J32" s="5">
        <f t="shared" si="6"/>
        <v>1101695.8059784453</v>
      </c>
      <c r="K32" s="5">
        <f t="shared" si="6"/>
        <v>1218807.0963440407</v>
      </c>
      <c r="L32" s="5">
        <f t="shared" si="6"/>
        <v>1325271.9057673092</v>
      </c>
    </row>
  </sheetData>
  <mergeCells count="3">
    <mergeCell ref="C7:L7"/>
    <mergeCell ref="C16:L16"/>
    <mergeCell ref="C26:L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Costs 15%</vt:lpstr>
      <vt:lpstr>CAPEX 15%</vt:lpstr>
      <vt:lpstr>OPEX 15%</vt:lpstr>
      <vt:lpstr>VAN 15%</vt:lpstr>
      <vt:lpstr>TIR 15%</vt:lpstr>
      <vt:lpstr>ROI 15%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2026-01-08T12:13:09Z</dcterms:created>
  <dcterms:modified xsi:type="dcterms:W3CDTF">2026-01-09T20:24:23Z</dcterms:modified>
</cp:coreProperties>
</file>