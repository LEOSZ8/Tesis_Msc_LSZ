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4_BattBankDesign\01_codes\01_Pnom015\"/>
    </mc:Choice>
  </mc:AlternateContent>
  <xr:revisionPtr revIDLastSave="0" documentId="13_ncr:1_{65A5EA82-37FD-43AC-A0AB-2F6C7B782871}" xr6:coauthVersionLast="47" xr6:coauthVersionMax="47" xr10:uidLastSave="{00000000-0000-0000-0000-000000000000}"/>
  <bookViews>
    <workbookView xWindow="-28920" yWindow="-11610" windowWidth="29040" windowHeight="15840" activeTab="5" xr2:uid="{32DAA168-B565-429F-AAFE-E289AA3DABBF}"/>
  </bookViews>
  <sheets>
    <sheet name="Costs 15%" sheetId="1" r:id="rId1"/>
    <sheet name="CAPEX 15%" sheetId="2" r:id="rId2"/>
    <sheet name="OPEX 15%" sheetId="3" r:id="rId3"/>
    <sheet name="VAN 15%" sheetId="4" r:id="rId4"/>
    <sheet name="TIR 15%" sheetId="6" r:id="rId5"/>
    <sheet name="ROI 15%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I14" i="3"/>
  <c r="F14" i="3"/>
  <c r="C14" i="3"/>
  <c r="C13" i="2"/>
  <c r="C14" i="2" s="1"/>
  <c r="I4" i="3"/>
  <c r="I3" i="3"/>
  <c r="I13" i="3"/>
  <c r="F13" i="3"/>
  <c r="F3" i="3"/>
  <c r="L9" i="3"/>
  <c r="L7" i="3"/>
  <c r="L6" i="3"/>
  <c r="L8" i="3" s="1"/>
  <c r="L5" i="3"/>
  <c r="L10" i="3" s="1"/>
  <c r="L4" i="3"/>
  <c r="L3" i="3"/>
  <c r="I9" i="3"/>
  <c r="I7" i="3"/>
  <c r="I8" i="3" s="1"/>
  <c r="I6" i="3"/>
  <c r="I5" i="3"/>
  <c r="I10" i="3" s="1"/>
  <c r="F9" i="3"/>
  <c r="C9" i="3"/>
  <c r="L15" i="3" l="1"/>
  <c r="L18" i="3" s="1"/>
  <c r="I15" i="3"/>
  <c r="I18" i="3" s="1"/>
  <c r="F8" i="3"/>
  <c r="F7" i="3"/>
  <c r="F6" i="3"/>
  <c r="C8" i="3"/>
  <c r="C7" i="3"/>
  <c r="C6" i="3"/>
  <c r="F4" i="3"/>
  <c r="C4" i="3"/>
  <c r="C3" i="3"/>
  <c r="C5" i="3" l="1"/>
  <c r="C10" i="3" s="1"/>
  <c r="F5" i="3"/>
  <c r="F10" i="3" s="1"/>
  <c r="F15" i="3" s="1"/>
  <c r="F18" i="3" l="1"/>
  <c r="C15" i="3"/>
  <c r="F17" i="3" l="1"/>
  <c r="F19" i="3" s="1"/>
  <c r="C2" i="6" s="1"/>
  <c r="I17" i="3"/>
  <c r="I19" i="3" s="1"/>
  <c r="L17" i="3"/>
  <c r="L19" i="3" s="1"/>
  <c r="I10" i="2"/>
  <c r="I9" i="2"/>
  <c r="I8" i="2"/>
  <c r="I7" i="2"/>
  <c r="F10" i="2"/>
  <c r="F9" i="2"/>
  <c r="F8" i="2"/>
  <c r="F7" i="2"/>
  <c r="C10" i="2"/>
  <c r="C9" i="2"/>
  <c r="C8" i="2"/>
  <c r="C7" i="2"/>
  <c r="G26" i="1"/>
  <c r="H26" i="1" s="1"/>
  <c r="G23" i="1"/>
  <c r="H23" i="1" s="1"/>
  <c r="H20" i="1"/>
  <c r="G20" i="1"/>
  <c r="H17" i="1"/>
  <c r="G17" i="1"/>
  <c r="G14" i="1"/>
  <c r="H14" i="1" s="1"/>
  <c r="G13" i="1"/>
  <c r="H13" i="1" s="1"/>
  <c r="F10" i="1"/>
  <c r="G10" i="1" s="1"/>
  <c r="G7" i="1"/>
  <c r="I4" i="2" s="1"/>
  <c r="F6" i="1"/>
  <c r="G6" i="1" s="1"/>
  <c r="F4" i="2" s="1"/>
  <c r="F7" i="1"/>
  <c r="F5" i="1"/>
  <c r="G5" i="1" s="1"/>
  <c r="C4" i="2" s="1"/>
  <c r="C4" i="4" l="1"/>
  <c r="C9" i="4" s="1"/>
  <c r="C4" i="8"/>
  <c r="E9" i="6"/>
  <c r="F9" i="6"/>
  <c r="L14" i="4"/>
  <c r="C6" i="4"/>
  <c r="C4" i="6"/>
  <c r="C6" i="8"/>
  <c r="C3" i="6"/>
  <c r="C5" i="8"/>
  <c r="C5" i="4"/>
  <c r="T9" i="6"/>
  <c r="K9" i="6"/>
  <c r="H14" i="4"/>
  <c r="N9" i="6"/>
  <c r="I14" i="4"/>
  <c r="K14" i="4"/>
  <c r="E9" i="4"/>
  <c r="D9" i="6"/>
  <c r="Q9" i="6"/>
  <c r="G9" i="6"/>
  <c r="H9" i="6"/>
  <c r="S9" i="6"/>
  <c r="R9" i="6"/>
  <c r="C14" i="4"/>
  <c r="F9" i="4"/>
  <c r="D14" i="4"/>
  <c r="H9" i="4"/>
  <c r="G9" i="4"/>
  <c r="E14" i="4"/>
  <c r="J9" i="4"/>
  <c r="J14" i="4"/>
  <c r="K9" i="4"/>
  <c r="I9" i="4"/>
  <c r="P9" i="6"/>
  <c r="L9" i="6"/>
  <c r="U9" i="6"/>
  <c r="L9" i="4"/>
  <c r="D9" i="4"/>
  <c r="G14" i="4"/>
  <c r="F14" i="4"/>
  <c r="M9" i="6"/>
  <c r="J9" i="6"/>
  <c r="C9" i="6"/>
  <c r="I9" i="6"/>
  <c r="O9" i="6"/>
  <c r="V9" i="6"/>
  <c r="C6" i="2"/>
  <c r="F6" i="2"/>
  <c r="I6" i="2"/>
  <c r="C5" i="2"/>
  <c r="F5" i="2"/>
  <c r="I5" i="2"/>
  <c r="C11" i="2"/>
  <c r="C12" i="2" s="1"/>
  <c r="C10" i="4" l="1"/>
  <c r="I10" i="4"/>
  <c r="K15" i="4"/>
  <c r="H10" i="4"/>
  <c r="C15" i="4"/>
  <c r="D10" i="4"/>
  <c r="J15" i="4"/>
  <c r="J10" i="4"/>
  <c r="K10" i="4"/>
  <c r="G15" i="4"/>
  <c r="E15" i="4"/>
  <c r="H15" i="4"/>
  <c r="I15" i="4"/>
  <c r="F15" i="4"/>
  <c r="F10" i="4"/>
  <c r="L10" i="4"/>
  <c r="G10" i="4"/>
  <c r="L15" i="4"/>
  <c r="D15" i="4"/>
  <c r="E10" i="4"/>
  <c r="U19" i="6"/>
  <c r="R19" i="6"/>
  <c r="L19" i="6"/>
  <c r="G19" i="6"/>
  <c r="C19" i="6"/>
  <c r="O19" i="6"/>
  <c r="M19" i="6"/>
  <c r="H19" i="6"/>
  <c r="S19" i="6"/>
  <c r="E19" i="6"/>
  <c r="F19" i="6"/>
  <c r="V19" i="6"/>
  <c r="P19" i="6"/>
  <c r="K19" i="6"/>
  <c r="I19" i="6"/>
  <c r="J19" i="6"/>
  <c r="D19" i="6"/>
  <c r="T19" i="6"/>
  <c r="N19" i="6"/>
  <c r="Q19" i="6"/>
  <c r="D14" i="6"/>
  <c r="T14" i="6"/>
  <c r="Q14" i="6"/>
  <c r="S14" i="6"/>
  <c r="N14" i="6"/>
  <c r="L14" i="6"/>
  <c r="G14" i="6"/>
  <c r="F14" i="6"/>
  <c r="M14" i="6"/>
  <c r="K14" i="6"/>
  <c r="H14" i="6"/>
  <c r="E14" i="6"/>
  <c r="U14" i="6"/>
  <c r="C14" i="6"/>
  <c r="R14" i="6"/>
  <c r="I14" i="6"/>
  <c r="V14" i="6"/>
  <c r="P14" i="6"/>
  <c r="O14" i="6"/>
  <c r="J14" i="6"/>
  <c r="J16" i="4"/>
  <c r="E16" i="4"/>
  <c r="G16" i="4"/>
  <c r="D16" i="4"/>
  <c r="H11" i="4"/>
  <c r="C16" i="4"/>
  <c r="I16" i="4"/>
  <c r="K16" i="4"/>
  <c r="L11" i="4"/>
  <c r="F11" i="4"/>
  <c r="G11" i="4"/>
  <c r="I11" i="4"/>
  <c r="J11" i="4"/>
  <c r="K11" i="4"/>
  <c r="D11" i="4"/>
  <c r="H16" i="4"/>
  <c r="E11" i="4"/>
  <c r="L16" i="4"/>
  <c r="F16" i="4"/>
  <c r="C11" i="4"/>
  <c r="F11" i="2"/>
  <c r="I11" i="2"/>
  <c r="I13" i="2" s="1"/>
  <c r="F12" i="2"/>
  <c r="F13" i="2"/>
  <c r="B9" i="6"/>
  <c r="I12" i="2" l="1"/>
  <c r="I14" i="2" s="1"/>
  <c r="F14" i="2"/>
  <c r="F3" i="4" s="1"/>
  <c r="O3" i="4" s="1"/>
  <c r="F2" i="8"/>
  <c r="F2" i="4"/>
  <c r="F2" i="6"/>
  <c r="I2" i="6"/>
  <c r="L2" i="6"/>
  <c r="L3" i="4" l="1"/>
  <c r="O2" i="4"/>
  <c r="I2" i="4"/>
  <c r="L2" i="4"/>
  <c r="I3" i="4"/>
  <c r="I2" i="8"/>
  <c r="C9" i="8"/>
  <c r="B14" i="6"/>
  <c r="F4" i="4"/>
  <c r="F4" i="8"/>
  <c r="I4" i="8" s="1"/>
  <c r="B19" i="6"/>
  <c r="L4" i="6" s="1"/>
  <c r="F3" i="8"/>
  <c r="B9" i="8"/>
  <c r="E13" i="8"/>
  <c r="R13" i="8" s="1"/>
  <c r="I9" i="8"/>
  <c r="V9" i="8" s="1"/>
  <c r="E9" i="8"/>
  <c r="R9" i="8" s="1"/>
  <c r="K13" i="8"/>
  <c r="H13" i="8"/>
  <c r="L9" i="8"/>
  <c r="Y9" i="8" s="1"/>
  <c r="P9" i="8"/>
  <c r="G9" i="8"/>
  <c r="T9" i="8" s="1"/>
  <c r="L13" i="8"/>
  <c r="J13" i="8"/>
  <c r="D13" i="8"/>
  <c r="Q13" i="8" s="1"/>
  <c r="I13" i="8"/>
  <c r="F9" i="8"/>
  <c r="S9" i="8" s="1"/>
  <c r="G13" i="8"/>
  <c r="T13" i="8" s="1"/>
  <c r="H9" i="8"/>
  <c r="U9" i="8" s="1"/>
  <c r="C13" i="8"/>
  <c r="P13" i="8" s="1"/>
  <c r="F13" i="8"/>
  <c r="S13" i="8" s="1"/>
  <c r="J9" i="8"/>
  <c r="W9" i="8" s="1"/>
  <c r="K9" i="8"/>
  <c r="X9" i="8" s="1"/>
  <c r="D9" i="8"/>
  <c r="Q9" i="8" s="1"/>
  <c r="B28" i="8" l="1"/>
  <c r="C28" i="8" s="1"/>
  <c r="D28" i="8" s="1"/>
  <c r="E28" i="8" s="1"/>
  <c r="F28" i="8" s="1"/>
  <c r="G28" i="8" s="1"/>
  <c r="H28" i="8" s="1"/>
  <c r="I28" i="8" s="1"/>
  <c r="J28" i="8" s="1"/>
  <c r="K28" i="8" s="1"/>
  <c r="L28" i="8" s="1"/>
  <c r="C32" i="8" s="1"/>
  <c r="D32" i="8" s="1"/>
  <c r="E32" i="8" s="1"/>
  <c r="F32" i="8" s="1"/>
  <c r="G32" i="8" s="1"/>
  <c r="H32" i="8" s="1"/>
  <c r="I32" i="8" s="1"/>
  <c r="J32" i="8" s="1"/>
  <c r="K32" i="8" s="1"/>
  <c r="L32" i="8" s="1"/>
  <c r="B18" i="8"/>
  <c r="I3" i="8"/>
  <c r="I4" i="6"/>
  <c r="I3" i="6"/>
  <c r="L3" i="6"/>
  <c r="F3" i="6"/>
  <c r="F4" i="6"/>
  <c r="L4" i="4"/>
  <c r="I4" i="4"/>
  <c r="O4" i="4"/>
  <c r="U13" i="8"/>
  <c r="P28" i="8" l="1"/>
  <c r="C18" i="8"/>
  <c r="D18" i="8" s="1"/>
  <c r="Q28" i="8"/>
  <c r="V13" i="8"/>
  <c r="E18" i="8" l="1"/>
  <c r="Q18" i="8"/>
  <c r="P18" i="8"/>
  <c r="R28" i="8"/>
  <c r="W13" i="8"/>
  <c r="F18" i="8" l="1"/>
  <c r="R18" i="8"/>
  <c r="S28" i="8"/>
  <c r="Y13" i="8"/>
  <c r="X13" i="8"/>
  <c r="G18" i="8" l="1"/>
  <c r="S18" i="8"/>
  <c r="T28" i="8"/>
  <c r="H18" i="8" l="1"/>
  <c r="T18" i="8"/>
  <c r="U28" i="8"/>
  <c r="I18" i="8" l="1"/>
  <c r="U18" i="8"/>
  <c r="V28" i="8"/>
  <c r="J18" i="8" l="1"/>
  <c r="V18" i="8"/>
  <c r="W28" i="8"/>
  <c r="K18" i="8" l="1"/>
  <c r="W18" i="8"/>
  <c r="X28" i="8"/>
  <c r="L18" i="8" l="1"/>
  <c r="X18" i="8"/>
  <c r="Y28" i="8"/>
  <c r="C22" i="8" l="1"/>
  <c r="Y18" i="8"/>
  <c r="P32" i="8"/>
  <c r="D22" i="8" l="1"/>
  <c r="P22" i="8"/>
  <c r="Q32" i="8"/>
  <c r="E22" i="8" l="1"/>
  <c r="Q22" i="8"/>
  <c r="R32" i="8"/>
  <c r="F22" i="8" l="1"/>
  <c r="R22" i="8"/>
  <c r="S32" i="8"/>
  <c r="G22" i="8" l="1"/>
  <c r="S22" i="8"/>
  <c r="T32" i="8"/>
  <c r="H22" i="8" l="1"/>
  <c r="T22" i="8"/>
  <c r="U32" i="8"/>
  <c r="I22" i="8" l="1"/>
  <c r="U22" i="8"/>
  <c r="V32" i="8"/>
  <c r="J22" i="8" l="1"/>
  <c r="V22" i="8"/>
  <c r="W32" i="8"/>
  <c r="K22" i="8" l="1"/>
  <c r="W22" i="8"/>
  <c r="Y32" i="8"/>
  <c r="X32" i="8"/>
  <c r="L22" i="8" l="1"/>
  <c r="Y22" i="8" s="1"/>
  <c r="X22" i="8"/>
</calcChain>
</file>

<file path=xl/sharedStrings.xml><?xml version="1.0" encoding="utf-8"?>
<sst xmlns="http://schemas.openxmlformats.org/spreadsheetml/2006/main" count="214" uniqueCount="84">
  <si>
    <t>Lowest Cost ($/kWh)</t>
  </si>
  <si>
    <t>Highest Cost ($/kWh)</t>
  </si>
  <si>
    <t>Battery Bank NMC</t>
  </si>
  <si>
    <t>NMC</t>
  </si>
  <si>
    <t>LFP</t>
  </si>
  <si>
    <t>LTO</t>
  </si>
  <si>
    <t>Average Cost ($/kWh)</t>
  </si>
  <si>
    <t>Capacity (kWh)</t>
  </si>
  <si>
    <t>Total Cost ($)</t>
  </si>
  <si>
    <t>DC/DC Converters</t>
  </si>
  <si>
    <t>Units</t>
  </si>
  <si>
    <t>Nominal Power per unit (kW)</t>
  </si>
  <si>
    <t>Inverters and Drives</t>
  </si>
  <si>
    <t>Inverter</t>
  </si>
  <si>
    <t>Drive</t>
  </si>
  <si>
    <t>Main Genset</t>
  </si>
  <si>
    <t>Electric Motors</t>
  </si>
  <si>
    <t>Highest Cost ($/kW)</t>
  </si>
  <si>
    <t>Average Cost ($/kW)</t>
  </si>
  <si>
    <t>Lowest Cost ($/kW)</t>
  </si>
  <si>
    <t>Integration/Cabling/Equipment</t>
  </si>
  <si>
    <t>Fire/Safety Systems</t>
  </si>
  <si>
    <t>Lowest Cost ($)</t>
  </si>
  <si>
    <t>Highest Cost ($)</t>
  </si>
  <si>
    <t>Average Cost ($)</t>
  </si>
  <si>
    <t>Batt Bank</t>
  </si>
  <si>
    <t>DC/DC</t>
  </si>
  <si>
    <t>Inverters/Drives</t>
  </si>
  <si>
    <t>General Equipments/elements</t>
  </si>
  <si>
    <t>Fire security system</t>
  </si>
  <si>
    <t>Conventional Tug</t>
  </si>
  <si>
    <t>Fuel Cost ($/L)</t>
  </si>
  <si>
    <t>Total fuel cost ($/year)</t>
  </si>
  <si>
    <t>Electricity</t>
  </si>
  <si>
    <t>Engine Maintenance</t>
  </si>
  <si>
    <t>Battery Replacement</t>
  </si>
  <si>
    <t>Total OPEX</t>
  </si>
  <si>
    <t>OPEX Conventional Tug</t>
  </si>
  <si>
    <t>OPEX Hybrid Tug</t>
  </si>
  <si>
    <t>Lifespan</t>
  </si>
  <si>
    <t>Discount Rate (%)</t>
  </si>
  <si>
    <t>Years</t>
  </si>
  <si>
    <t>VAN NMC</t>
  </si>
  <si>
    <t>VAN LFP</t>
  </si>
  <si>
    <t>VAN LTO</t>
  </si>
  <si>
    <t>TIR NMC</t>
  </si>
  <si>
    <t>NMC Batt Bank</t>
  </si>
  <si>
    <t>LFP Batt Bank</t>
  </si>
  <si>
    <t>LTO Batt Bank</t>
  </si>
  <si>
    <t>TIR LFP</t>
  </si>
  <si>
    <t>TIR LTO</t>
  </si>
  <si>
    <t>ROI NMC</t>
  </si>
  <si>
    <t>ROI LFP</t>
  </si>
  <si>
    <t>ROI LTO</t>
  </si>
  <si>
    <t>Carbon Tax ($50/ton)</t>
  </si>
  <si>
    <t>Goverment grants (20%-40%)</t>
  </si>
  <si>
    <t>Percentage of the cost subsidized by the government</t>
  </si>
  <si>
    <t>Costo Bruto</t>
  </si>
  <si>
    <t>Costo Total</t>
  </si>
  <si>
    <t>Cost NMC</t>
  </si>
  <si>
    <t>Cost LFP</t>
  </si>
  <si>
    <t>Cost LTO</t>
  </si>
  <si>
    <t>20 años</t>
  </si>
  <si>
    <t>10 años</t>
  </si>
  <si>
    <t>15 años</t>
  </si>
  <si>
    <t>Annual profit</t>
  </si>
  <si>
    <t>Engineering</t>
  </si>
  <si>
    <t>Battery Maintenance</t>
  </si>
  <si>
    <t>Lowest annual fuel consumption (L)</t>
  </si>
  <si>
    <t>Highest annual fuel consumption (L)</t>
  </si>
  <si>
    <t>Average annual fuel consumption (L)</t>
  </si>
  <si>
    <t>Lowest annual CO2 emissions generated (t)</t>
  </si>
  <si>
    <t>Highest annual CO2 emissions generated (t)</t>
  </si>
  <si>
    <t>Average annual CO2 emissions generated (t)</t>
  </si>
  <si>
    <t>Hybrid Tug - NMC</t>
  </si>
  <si>
    <t>Hybrid Tug - LFP</t>
  </si>
  <si>
    <t>Hybrid Tug - LTO</t>
  </si>
  <si>
    <t>Total OPEX - NMC</t>
  </si>
  <si>
    <t>Total OPEX - LFP</t>
  </si>
  <si>
    <t>Total OPEX - LTO</t>
  </si>
  <si>
    <t>Anual Profit NMC ($)</t>
  </si>
  <si>
    <t>Anual Profit LFP ($)</t>
  </si>
  <si>
    <t>Anual Profit LTO ($)</t>
  </si>
  <si>
    <t>Annual Profit NMC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</si>
</sst>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-* #,##0.00_-;\-* #,##0.00_-;_-* &quot;-&quot;??_-;_-@_-"/>
    <numFmt numFmtId="165" formatCode="_ &quot;$&quot;* #,##0.0_ ;_ &quot;$&quot;* \-#,##0.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2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  <xf numFmtId="42" fontId="2" fillId="0" borderId="0" xfId="1" applyFont="1"/>
    <xf numFmtId="42" fontId="0" fillId="0" borderId="0" xfId="0" applyNumberFormat="1"/>
    <xf numFmtId="1" fontId="0" fillId="0" borderId="0" xfId="0" applyNumberFormat="1"/>
    <xf numFmtId="165" fontId="0" fillId="0" borderId="0" xfId="1" applyNumberFormat="1" applyFont="1" applyAlignment="1"/>
    <xf numFmtId="42" fontId="2" fillId="0" borderId="0" xfId="0" applyNumberFormat="1" applyFont="1"/>
    <xf numFmtId="42" fontId="2" fillId="0" borderId="0" xfId="0" applyNumberFormat="1" applyFont="1" applyAlignment="1">
      <alignment horizontal="center"/>
    </xf>
    <xf numFmtId="9" fontId="0" fillId="0" borderId="0" xfId="2" applyFont="1"/>
    <xf numFmtId="10" fontId="2" fillId="0" borderId="0" xfId="0" applyNumberFormat="1" applyFont="1"/>
    <xf numFmtId="2" fontId="2" fillId="0" borderId="0" xfId="1" applyNumberFormat="1" applyFont="1"/>
    <xf numFmtId="42" fontId="0" fillId="2" borderId="0" xfId="0" applyNumberFormat="1" applyFill="1"/>
    <xf numFmtId="0" fontId="0" fillId="2" borderId="0" xfId="0" applyFill="1"/>
    <xf numFmtId="0" fontId="0" fillId="3" borderId="0" xfId="0" applyFill="1"/>
    <xf numFmtId="9" fontId="0" fillId="2" borderId="0" xfId="2" applyFont="1" applyFill="1"/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4D7A-AB81-456B-B0DB-733EF237E819}">
  <dimension ref="B3:H29"/>
  <sheetViews>
    <sheetView workbookViewId="0">
      <selection activeCell="I5" sqref="I5"/>
    </sheetView>
  </sheetViews>
  <sheetFormatPr baseColWidth="10" defaultRowHeight="14.5" x14ac:dyDescent="0.35"/>
  <cols>
    <col min="2" max="2" width="12.81640625" bestFit="1" customWidth="1"/>
    <col min="3" max="3" width="23.7265625" bestFit="1" customWidth="1"/>
    <col min="4" max="4" width="26.7265625" bestFit="1" customWidth="1"/>
    <col min="5" max="5" width="19.453125" bestFit="1" customWidth="1"/>
    <col min="6" max="7" width="18.453125" bestFit="1" customWidth="1"/>
    <col min="8" max="8" width="13" bestFit="1" customWidth="1"/>
  </cols>
  <sheetData>
    <row r="3" spans="2:8" x14ac:dyDescent="0.35">
      <c r="B3" s="19" t="s">
        <v>2</v>
      </c>
      <c r="C3" s="19"/>
      <c r="D3" s="19"/>
      <c r="E3" s="19"/>
      <c r="F3" s="19"/>
      <c r="G3" s="19"/>
    </row>
    <row r="4" spans="2:8" x14ac:dyDescent="0.35">
      <c r="C4" t="s">
        <v>7</v>
      </c>
      <c r="D4" t="s">
        <v>0</v>
      </c>
      <c r="E4" t="s">
        <v>1</v>
      </c>
      <c r="F4" t="s">
        <v>6</v>
      </c>
      <c r="G4" s="3" t="s">
        <v>8</v>
      </c>
    </row>
    <row r="5" spans="2:8" x14ac:dyDescent="0.35">
      <c r="B5" t="s">
        <v>3</v>
      </c>
      <c r="C5">
        <v>2800</v>
      </c>
      <c r="D5">
        <v>600</v>
      </c>
      <c r="E5">
        <v>1000</v>
      </c>
      <c r="F5">
        <f>(D5+E5)/2</f>
        <v>800</v>
      </c>
      <c r="G5" s="4">
        <f>F5*C5</f>
        <v>2240000</v>
      </c>
    </row>
    <row r="6" spans="2:8" x14ac:dyDescent="0.35">
      <c r="B6" t="s">
        <v>4</v>
      </c>
      <c r="C6">
        <v>2800</v>
      </c>
      <c r="D6">
        <v>300</v>
      </c>
      <c r="E6">
        <v>600</v>
      </c>
      <c r="F6">
        <f t="shared" ref="F6:F7" si="0">(D6+E6)/2</f>
        <v>450</v>
      </c>
      <c r="G6" s="4">
        <f t="shared" ref="G6:G7" si="1">F6*C6</f>
        <v>1260000</v>
      </c>
    </row>
    <row r="7" spans="2:8" x14ac:dyDescent="0.35">
      <c r="B7" t="s">
        <v>5</v>
      </c>
      <c r="C7">
        <v>2800</v>
      </c>
      <c r="D7">
        <v>800</v>
      </c>
      <c r="E7">
        <v>1200</v>
      </c>
      <c r="F7">
        <f t="shared" si="0"/>
        <v>1000</v>
      </c>
      <c r="G7" s="4">
        <f t="shared" si="1"/>
        <v>2800000</v>
      </c>
    </row>
    <row r="8" spans="2:8" x14ac:dyDescent="0.35">
      <c r="B8" s="19" t="s">
        <v>9</v>
      </c>
      <c r="C8" s="19"/>
      <c r="D8" s="19"/>
      <c r="E8" s="19"/>
      <c r="F8" s="19"/>
      <c r="G8" s="19"/>
    </row>
    <row r="9" spans="2:8" x14ac:dyDescent="0.35">
      <c r="B9" t="s">
        <v>10</v>
      </c>
      <c r="C9" t="s">
        <v>11</v>
      </c>
      <c r="D9" t="s">
        <v>19</v>
      </c>
      <c r="E9" t="s">
        <v>17</v>
      </c>
      <c r="F9" t="s">
        <v>18</v>
      </c>
      <c r="G9" s="3" t="s">
        <v>8</v>
      </c>
    </row>
    <row r="10" spans="2:8" x14ac:dyDescent="0.35">
      <c r="B10">
        <v>4</v>
      </c>
      <c r="C10">
        <v>150</v>
      </c>
      <c r="D10">
        <v>100</v>
      </c>
      <c r="E10">
        <v>400</v>
      </c>
      <c r="F10">
        <f>(D10+E10)/2</f>
        <v>250</v>
      </c>
      <c r="G10" s="4">
        <f>B10*C10*F10</f>
        <v>150000</v>
      </c>
    </row>
    <row r="11" spans="2:8" x14ac:dyDescent="0.35">
      <c r="B11" s="19" t="s">
        <v>12</v>
      </c>
      <c r="C11" s="19"/>
      <c r="D11" s="19"/>
      <c r="E11" s="19"/>
      <c r="F11" s="19"/>
      <c r="G11" s="19"/>
    </row>
    <row r="12" spans="2:8" x14ac:dyDescent="0.35">
      <c r="C12" t="s">
        <v>10</v>
      </c>
      <c r="D12" t="s">
        <v>11</v>
      </c>
      <c r="E12" t="s">
        <v>19</v>
      </c>
      <c r="F12" t="s">
        <v>17</v>
      </c>
      <c r="G12" t="s">
        <v>18</v>
      </c>
      <c r="H12" s="3" t="s">
        <v>8</v>
      </c>
    </row>
    <row r="13" spans="2:8" x14ac:dyDescent="0.35">
      <c r="B13" t="s">
        <v>13</v>
      </c>
      <c r="C13">
        <v>2</v>
      </c>
      <c r="D13">
        <v>300</v>
      </c>
      <c r="E13">
        <v>250</v>
      </c>
      <c r="F13">
        <v>450</v>
      </c>
      <c r="G13">
        <f>(E13+F13)/2</f>
        <v>350</v>
      </c>
      <c r="H13" s="4">
        <f>C13*D13*G13</f>
        <v>210000</v>
      </c>
    </row>
    <row r="14" spans="2:8" x14ac:dyDescent="0.35">
      <c r="B14" t="s">
        <v>14</v>
      </c>
      <c r="C14">
        <v>2</v>
      </c>
      <c r="D14">
        <v>1000</v>
      </c>
      <c r="E14">
        <v>120</v>
      </c>
      <c r="F14">
        <v>250</v>
      </c>
      <c r="G14">
        <f>(E14+F14)/2</f>
        <v>185</v>
      </c>
      <c r="H14" s="4">
        <f>C14*D14*G14</f>
        <v>370000</v>
      </c>
    </row>
    <row r="15" spans="2:8" x14ac:dyDescent="0.35">
      <c r="B15" s="19" t="s">
        <v>15</v>
      </c>
      <c r="C15" s="19"/>
      <c r="D15" s="19"/>
      <c r="E15" s="19"/>
      <c r="F15" s="19"/>
      <c r="G15" s="19"/>
      <c r="H15" s="3"/>
    </row>
    <row r="16" spans="2:8" x14ac:dyDescent="0.35">
      <c r="C16" t="s">
        <v>10</v>
      </c>
      <c r="D16" t="s">
        <v>11</v>
      </c>
      <c r="E16" t="s">
        <v>19</v>
      </c>
      <c r="F16" t="s">
        <v>17</v>
      </c>
      <c r="G16" t="s">
        <v>18</v>
      </c>
      <c r="H16" s="3" t="s">
        <v>8</v>
      </c>
    </row>
    <row r="17" spans="2:8" x14ac:dyDescent="0.35">
      <c r="C17">
        <v>1</v>
      </c>
      <c r="D17">
        <v>2000</v>
      </c>
      <c r="E17">
        <v>75</v>
      </c>
      <c r="F17">
        <v>750</v>
      </c>
      <c r="G17">
        <f>(E17+F17)/2</f>
        <v>412.5</v>
      </c>
      <c r="H17" s="4">
        <f>C17*D17*G17</f>
        <v>825000</v>
      </c>
    </row>
    <row r="18" spans="2:8" x14ac:dyDescent="0.35">
      <c r="B18" s="19" t="s">
        <v>16</v>
      </c>
      <c r="C18" s="19"/>
      <c r="D18" s="19"/>
      <c r="E18" s="19"/>
      <c r="F18" s="19"/>
      <c r="G18" s="19"/>
    </row>
    <row r="19" spans="2:8" x14ac:dyDescent="0.35">
      <c r="C19" t="s">
        <v>10</v>
      </c>
      <c r="D19" t="s">
        <v>11</v>
      </c>
      <c r="E19" t="s">
        <v>19</v>
      </c>
      <c r="F19" t="s">
        <v>17</v>
      </c>
      <c r="G19" t="s">
        <v>18</v>
      </c>
      <c r="H19" s="3" t="s">
        <v>8</v>
      </c>
    </row>
    <row r="20" spans="2:8" x14ac:dyDescent="0.35">
      <c r="B20" t="s">
        <v>16</v>
      </c>
      <c r="C20">
        <v>2</v>
      </c>
      <c r="D20">
        <v>1000</v>
      </c>
      <c r="E20">
        <v>90</v>
      </c>
      <c r="F20">
        <v>250</v>
      </c>
      <c r="G20">
        <f>(E20+F20)/2</f>
        <v>170</v>
      </c>
      <c r="H20" s="4">
        <f>C20*D20*G20</f>
        <v>340000</v>
      </c>
    </row>
    <row r="21" spans="2:8" x14ac:dyDescent="0.35">
      <c r="B21" s="19" t="s">
        <v>20</v>
      </c>
      <c r="C21" s="19"/>
      <c r="D21" s="19"/>
      <c r="E21" s="19"/>
      <c r="F21" s="19"/>
      <c r="G21" s="19"/>
    </row>
    <row r="22" spans="2:8" x14ac:dyDescent="0.35">
      <c r="E22" t="s">
        <v>22</v>
      </c>
      <c r="F22" t="s">
        <v>23</v>
      </c>
      <c r="G22" t="s">
        <v>24</v>
      </c>
      <c r="H22" s="3" t="s">
        <v>8</v>
      </c>
    </row>
    <row r="23" spans="2:8" x14ac:dyDescent="0.35">
      <c r="E23" s="1">
        <v>100000</v>
      </c>
      <c r="F23" s="1">
        <v>175000</v>
      </c>
      <c r="G23" s="1">
        <f>(E23+F23)/2</f>
        <v>137500</v>
      </c>
      <c r="H23" s="4">
        <f>G23</f>
        <v>137500</v>
      </c>
    </row>
    <row r="24" spans="2:8" x14ac:dyDescent="0.35">
      <c r="B24" s="19" t="s">
        <v>21</v>
      </c>
      <c r="C24" s="19"/>
      <c r="D24" s="19"/>
      <c r="E24" s="19"/>
      <c r="F24" s="19"/>
      <c r="G24" s="19"/>
    </row>
    <row r="25" spans="2:8" x14ac:dyDescent="0.35">
      <c r="E25" t="s">
        <v>22</v>
      </c>
      <c r="F25" t="s">
        <v>23</v>
      </c>
      <c r="G25" t="s">
        <v>24</v>
      </c>
      <c r="H25" s="3" t="s">
        <v>8</v>
      </c>
    </row>
    <row r="26" spans="2:8" x14ac:dyDescent="0.35">
      <c r="E26" s="1">
        <v>50000</v>
      </c>
      <c r="F26" s="1">
        <v>80000</v>
      </c>
      <c r="G26" s="1">
        <f>(E26+F26)/2</f>
        <v>65000</v>
      </c>
      <c r="H26" s="4">
        <f>G26</f>
        <v>65000</v>
      </c>
    </row>
    <row r="27" spans="2:8" x14ac:dyDescent="0.35">
      <c r="B27" s="19"/>
      <c r="C27" s="19"/>
      <c r="D27" s="19"/>
      <c r="E27" s="19"/>
      <c r="F27" s="19"/>
      <c r="G27" s="19"/>
    </row>
    <row r="28" spans="2:8" x14ac:dyDescent="0.35">
      <c r="H28" s="3"/>
    </row>
    <row r="29" spans="2:8" x14ac:dyDescent="0.35">
      <c r="E29" s="1"/>
      <c r="F29" s="1"/>
      <c r="G29" s="1"/>
      <c r="H29" s="4"/>
    </row>
  </sheetData>
  <mergeCells count="8">
    <mergeCell ref="B27:G27"/>
    <mergeCell ref="B18:G18"/>
    <mergeCell ref="B21:G21"/>
    <mergeCell ref="B24:G24"/>
    <mergeCell ref="B3:G3"/>
    <mergeCell ref="B8:G8"/>
    <mergeCell ref="B11:G11"/>
    <mergeCell ref="B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CAA-C5C8-4FF3-BA68-5F71D3D769DB}">
  <dimension ref="B3:I17"/>
  <sheetViews>
    <sheetView workbookViewId="0">
      <selection activeCell="C18" sqref="C18"/>
    </sheetView>
  </sheetViews>
  <sheetFormatPr baseColWidth="10" defaultRowHeight="14.5" x14ac:dyDescent="0.35"/>
  <cols>
    <col min="2" max="2" width="45.26953125" bestFit="1" customWidth="1"/>
    <col min="3" max="3" width="11.1796875" bestFit="1" customWidth="1"/>
    <col min="5" max="5" width="25.453125" bestFit="1" customWidth="1"/>
    <col min="6" max="6" width="11.1796875" bestFit="1" customWidth="1"/>
    <col min="8" max="8" width="25.453125" bestFit="1" customWidth="1"/>
    <col min="9" max="9" width="11.1796875" bestFit="1" customWidth="1"/>
  </cols>
  <sheetData>
    <row r="3" spans="2:9" x14ac:dyDescent="0.35">
      <c r="B3" s="19" t="s">
        <v>3</v>
      </c>
      <c r="C3" s="19"/>
      <c r="E3" s="19" t="s">
        <v>4</v>
      </c>
      <c r="F3" s="19"/>
      <c r="H3" s="19" t="s">
        <v>5</v>
      </c>
      <c r="I3" s="19"/>
    </row>
    <row r="4" spans="2:9" x14ac:dyDescent="0.35">
      <c r="B4" t="s">
        <v>25</v>
      </c>
      <c r="C4" s="5">
        <f>'Costs 15%'!G5</f>
        <v>2240000</v>
      </c>
      <c r="E4" t="s">
        <v>25</v>
      </c>
      <c r="F4" s="5">
        <f>'Costs 15%'!G6</f>
        <v>1260000</v>
      </c>
      <c r="H4" t="s">
        <v>25</v>
      </c>
      <c r="I4" s="5">
        <f>'Costs 15%'!G7</f>
        <v>2800000</v>
      </c>
    </row>
    <row r="5" spans="2:9" x14ac:dyDescent="0.35">
      <c r="B5" t="s">
        <v>26</v>
      </c>
      <c r="C5" s="5">
        <f>'Costs 15%'!$G$10</f>
        <v>150000</v>
      </c>
      <c r="E5" t="s">
        <v>26</v>
      </c>
      <c r="F5" s="5">
        <f>'Costs 15%'!$G$10</f>
        <v>150000</v>
      </c>
      <c r="H5" t="s">
        <v>26</v>
      </c>
      <c r="I5" s="5">
        <f>'Costs 15%'!$G$10</f>
        <v>150000</v>
      </c>
    </row>
    <row r="6" spans="2:9" x14ac:dyDescent="0.35">
      <c r="B6" t="s">
        <v>27</v>
      </c>
      <c r="C6" s="5">
        <f>'Costs 15%'!$H$13+'Costs 15%'!$H$14</f>
        <v>580000</v>
      </c>
      <c r="E6" t="s">
        <v>27</v>
      </c>
      <c r="F6" s="5">
        <f>'Costs 15%'!$H$13+'Costs 15%'!$H$14</f>
        <v>580000</v>
      </c>
      <c r="H6" t="s">
        <v>27</v>
      </c>
      <c r="I6" s="5">
        <f>'Costs 15%'!$H$13+'Costs 15%'!$H$14</f>
        <v>580000</v>
      </c>
    </row>
    <row r="7" spans="2:9" x14ac:dyDescent="0.35">
      <c r="B7" t="s">
        <v>15</v>
      </c>
      <c r="C7" s="5">
        <f>'Costs 15%'!$H$17</f>
        <v>825000</v>
      </c>
      <c r="E7" t="s">
        <v>15</v>
      </c>
      <c r="F7" s="5">
        <f>'Costs 15%'!$H$17</f>
        <v>825000</v>
      </c>
      <c r="H7" t="s">
        <v>15</v>
      </c>
      <c r="I7" s="5">
        <f>'Costs 15%'!$H$17</f>
        <v>825000</v>
      </c>
    </row>
    <row r="8" spans="2:9" x14ac:dyDescent="0.35">
      <c r="B8" t="s">
        <v>16</v>
      </c>
      <c r="C8" s="5">
        <f>'Costs 15%'!$H$20</f>
        <v>340000</v>
      </c>
      <c r="E8" t="s">
        <v>16</v>
      </c>
      <c r="F8" s="5">
        <f>'Costs 15%'!$H$20</f>
        <v>340000</v>
      </c>
      <c r="H8" t="s">
        <v>16</v>
      </c>
      <c r="I8" s="5">
        <f>'Costs 15%'!$H$20</f>
        <v>340000</v>
      </c>
    </row>
    <row r="9" spans="2:9" x14ac:dyDescent="0.35">
      <c r="B9" t="s">
        <v>28</v>
      </c>
      <c r="C9" s="5">
        <f>'Costs 15%'!$H$23</f>
        <v>137500</v>
      </c>
      <c r="E9" t="s">
        <v>28</v>
      </c>
      <c r="F9" s="5">
        <f>'Costs 15%'!$H$23</f>
        <v>137500</v>
      </c>
      <c r="H9" t="s">
        <v>28</v>
      </c>
      <c r="I9" s="5">
        <f>'Costs 15%'!$H$23</f>
        <v>137500</v>
      </c>
    </row>
    <row r="10" spans="2:9" x14ac:dyDescent="0.35">
      <c r="B10" t="s">
        <v>29</v>
      </c>
      <c r="C10" s="5">
        <f>'Costs 15%'!$H$26</f>
        <v>65000</v>
      </c>
      <c r="E10" t="s">
        <v>29</v>
      </c>
      <c r="F10" s="5">
        <f>'Costs 15%'!$H$26</f>
        <v>65000</v>
      </c>
      <c r="H10" t="s">
        <v>29</v>
      </c>
      <c r="I10" s="5">
        <f>'Costs 15%'!$H$26</f>
        <v>65000</v>
      </c>
    </row>
    <row r="11" spans="2:9" x14ac:dyDescent="0.35">
      <c r="B11" s="3" t="s">
        <v>57</v>
      </c>
      <c r="C11" s="8">
        <f>SUM(C4:C10)</f>
        <v>4337500</v>
      </c>
      <c r="E11" s="3" t="s">
        <v>57</v>
      </c>
      <c r="F11" s="8">
        <f>SUM(F4:F10)</f>
        <v>3357500</v>
      </c>
      <c r="H11" s="3" t="s">
        <v>57</v>
      </c>
      <c r="I11" s="8">
        <f>SUM(I4:I10)</f>
        <v>4897500</v>
      </c>
    </row>
    <row r="12" spans="2:9" x14ac:dyDescent="0.35">
      <c r="B12" t="s">
        <v>66</v>
      </c>
      <c r="C12" s="17">
        <f>C11*0.035</f>
        <v>151812.5</v>
      </c>
      <c r="E12" t="s">
        <v>66</v>
      </c>
      <c r="F12" s="17">
        <f>F11*0.035</f>
        <v>117512.50000000001</v>
      </c>
      <c r="H12" t="s">
        <v>66</v>
      </c>
      <c r="I12" s="17">
        <f>I11*0.035</f>
        <v>171412.50000000003</v>
      </c>
    </row>
    <row r="13" spans="2:9" x14ac:dyDescent="0.35">
      <c r="B13" s="14" t="s">
        <v>55</v>
      </c>
      <c r="C13" s="5">
        <f>C11*C17</f>
        <v>433750</v>
      </c>
      <c r="E13" s="14" t="s">
        <v>55</v>
      </c>
      <c r="F13" s="5">
        <f>F11*C17</f>
        <v>335750</v>
      </c>
      <c r="H13" s="14" t="s">
        <v>55</v>
      </c>
      <c r="I13" s="5">
        <f>I11*C17</f>
        <v>489750</v>
      </c>
    </row>
    <row r="14" spans="2:9" x14ac:dyDescent="0.35">
      <c r="B14" s="3" t="s">
        <v>58</v>
      </c>
      <c r="C14" s="8">
        <f>C11+C12-C13</f>
        <v>4055562.5</v>
      </c>
      <c r="E14" s="3" t="s">
        <v>58</v>
      </c>
      <c r="F14" s="8">
        <f>F11-F13-F12</f>
        <v>2904237.5</v>
      </c>
      <c r="H14" s="3" t="s">
        <v>58</v>
      </c>
      <c r="I14" s="8">
        <f>I11-I13-I12</f>
        <v>4236337.5</v>
      </c>
    </row>
    <row r="17" spans="2:3" x14ac:dyDescent="0.35">
      <c r="B17" s="14" t="s">
        <v>56</v>
      </c>
      <c r="C17" s="10">
        <v>0.1</v>
      </c>
    </row>
  </sheetData>
  <mergeCells count="3">
    <mergeCell ref="B3:C3"/>
    <mergeCell ref="E3:F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4CD5-5B27-45B4-BE42-4FE58799A9A6}">
  <dimension ref="B2:L19"/>
  <sheetViews>
    <sheetView topLeftCell="B1" workbookViewId="0">
      <selection activeCell="L15" sqref="L15"/>
    </sheetView>
  </sheetViews>
  <sheetFormatPr baseColWidth="10" defaultRowHeight="14.5" x14ac:dyDescent="0.35"/>
  <cols>
    <col min="2" max="2" width="39.26953125" bestFit="1" customWidth="1"/>
    <col min="3" max="3" width="18.7265625" bestFit="1" customWidth="1"/>
    <col min="5" max="5" width="39.26953125" bestFit="1" customWidth="1"/>
    <col min="8" max="8" width="40.453125" bestFit="1" customWidth="1"/>
    <col min="9" max="9" width="11" bestFit="1" customWidth="1"/>
    <col min="11" max="11" width="40.453125" bestFit="1" customWidth="1"/>
  </cols>
  <sheetData>
    <row r="2" spans="2:12" x14ac:dyDescent="0.35">
      <c r="B2" s="19" t="s">
        <v>30</v>
      </c>
      <c r="C2" s="19"/>
      <c r="E2" s="19" t="s">
        <v>74</v>
      </c>
      <c r="F2" s="19"/>
      <c r="H2" s="19" t="s">
        <v>75</v>
      </c>
      <c r="I2" s="19"/>
      <c r="K2" s="19" t="s">
        <v>76</v>
      </c>
      <c r="L2" s="19"/>
    </row>
    <row r="3" spans="2:12" x14ac:dyDescent="0.35">
      <c r="B3" t="s">
        <v>68</v>
      </c>
      <c r="C3" s="6">
        <f>5366*365</f>
        <v>1958590</v>
      </c>
      <c r="E3" t="s">
        <v>68</v>
      </c>
      <c r="F3" s="6">
        <f>2406*365</f>
        <v>878190</v>
      </c>
      <c r="H3" t="s">
        <v>68</v>
      </c>
      <c r="I3" s="6">
        <f>2406*365</f>
        <v>878190</v>
      </c>
      <c r="K3" t="s">
        <v>68</v>
      </c>
      <c r="L3" s="6">
        <f>2406*365</f>
        <v>878190</v>
      </c>
    </row>
    <row r="4" spans="2:12" x14ac:dyDescent="0.35">
      <c r="B4" t="s">
        <v>69</v>
      </c>
      <c r="C4" s="6">
        <f>6385*365</f>
        <v>2330525</v>
      </c>
      <c r="E4" t="s">
        <v>69</v>
      </c>
      <c r="F4" s="6">
        <f>4268*365</f>
        <v>1557820</v>
      </c>
      <c r="H4" t="s">
        <v>69</v>
      </c>
      <c r="I4" s="6">
        <f>4268*365</f>
        <v>1557820</v>
      </c>
      <c r="K4" t="s">
        <v>69</v>
      </c>
      <c r="L4" s="6">
        <f>4268*365</f>
        <v>1557820</v>
      </c>
    </row>
    <row r="5" spans="2:12" x14ac:dyDescent="0.35">
      <c r="B5" t="s">
        <v>70</v>
      </c>
      <c r="C5">
        <f>(C3+C4)/2</f>
        <v>2144557.5</v>
      </c>
      <c r="E5" t="s">
        <v>70</v>
      </c>
      <c r="F5">
        <f>(F3+F4)/2</f>
        <v>1218005</v>
      </c>
      <c r="H5" t="s">
        <v>70</v>
      </c>
      <c r="I5">
        <f>(I3+I4)/2</f>
        <v>1218005</v>
      </c>
      <c r="K5" t="s">
        <v>70</v>
      </c>
      <c r="L5">
        <f>(L3+L4)/2</f>
        <v>1218005</v>
      </c>
    </row>
    <row r="6" spans="2:12" x14ac:dyDescent="0.35">
      <c r="B6" t="s">
        <v>71</v>
      </c>
      <c r="C6">
        <f>14.3*365</f>
        <v>5219.5</v>
      </c>
      <c r="E6" t="s">
        <v>71</v>
      </c>
      <c r="F6">
        <f>6.4*365</f>
        <v>2336</v>
      </c>
      <c r="H6" t="s">
        <v>71</v>
      </c>
      <c r="I6">
        <f>6.4*365</f>
        <v>2336</v>
      </c>
      <c r="K6" t="s">
        <v>71</v>
      </c>
      <c r="L6">
        <f>6.4*365</f>
        <v>2336</v>
      </c>
    </row>
    <row r="7" spans="2:12" x14ac:dyDescent="0.35">
      <c r="B7" t="s">
        <v>72</v>
      </c>
      <c r="C7">
        <f>17*365</f>
        <v>6205</v>
      </c>
      <c r="E7" t="s">
        <v>72</v>
      </c>
      <c r="F7">
        <f>11.4*365</f>
        <v>4161</v>
      </c>
      <c r="H7" t="s">
        <v>72</v>
      </c>
      <c r="I7">
        <f>11.4*365</f>
        <v>4161</v>
      </c>
      <c r="K7" t="s">
        <v>72</v>
      </c>
      <c r="L7">
        <f>11.4*365</f>
        <v>4161</v>
      </c>
    </row>
    <row r="8" spans="2:12" x14ac:dyDescent="0.35">
      <c r="B8" t="s">
        <v>73</v>
      </c>
      <c r="C8">
        <f>(C6+C7)/2</f>
        <v>5712.25</v>
      </c>
      <c r="E8" t="s">
        <v>73</v>
      </c>
      <c r="F8">
        <f>(F6+F7)/2</f>
        <v>3248.5</v>
      </c>
      <c r="H8" t="s">
        <v>73</v>
      </c>
      <c r="I8">
        <f>(I6+I7)/2</f>
        <v>3248.5</v>
      </c>
      <c r="K8" t="s">
        <v>73</v>
      </c>
      <c r="L8">
        <f>(L6+L7)/2</f>
        <v>3248.5</v>
      </c>
    </row>
    <row r="9" spans="2:12" x14ac:dyDescent="0.35">
      <c r="B9" t="s">
        <v>31</v>
      </c>
      <c r="C9" s="7">
        <f>0.8</f>
        <v>0.8</v>
      </c>
      <c r="E9" t="s">
        <v>31</v>
      </c>
      <c r="F9" s="7">
        <f>0.8</f>
        <v>0.8</v>
      </c>
      <c r="H9" t="s">
        <v>31</v>
      </c>
      <c r="I9" s="7">
        <f>0.8</f>
        <v>0.8</v>
      </c>
      <c r="K9" t="s">
        <v>31</v>
      </c>
      <c r="L9" s="7">
        <f>0.8</f>
        <v>0.8</v>
      </c>
    </row>
    <row r="10" spans="2:12" x14ac:dyDescent="0.35">
      <c r="B10" s="3" t="s">
        <v>32</v>
      </c>
      <c r="C10" s="4">
        <f>C5*C9</f>
        <v>1715646</v>
      </c>
      <c r="E10" s="3" t="s">
        <v>32</v>
      </c>
      <c r="F10" s="4">
        <f>F5*F9</f>
        <v>974404</v>
      </c>
      <c r="H10" s="3" t="s">
        <v>32</v>
      </c>
      <c r="I10" s="4">
        <f>I5*I9</f>
        <v>974404</v>
      </c>
      <c r="K10" s="3" t="s">
        <v>32</v>
      </c>
      <c r="L10" s="4">
        <f>L5*L9</f>
        <v>974404</v>
      </c>
    </row>
    <row r="11" spans="2:12" x14ac:dyDescent="0.35">
      <c r="B11" t="s">
        <v>33</v>
      </c>
      <c r="C11" s="1">
        <v>0</v>
      </c>
      <c r="E11" t="s">
        <v>33</v>
      </c>
      <c r="F11" s="1">
        <v>30000</v>
      </c>
      <c r="H11" t="s">
        <v>33</v>
      </c>
      <c r="I11" s="1">
        <v>30000</v>
      </c>
      <c r="K11" t="s">
        <v>33</v>
      </c>
      <c r="L11" s="1">
        <v>30000</v>
      </c>
    </row>
    <row r="12" spans="2:12" x14ac:dyDescent="0.35">
      <c r="B12" t="s">
        <v>34</v>
      </c>
      <c r="C12" s="1">
        <v>40000</v>
      </c>
      <c r="E12" t="s">
        <v>34</v>
      </c>
      <c r="F12" s="1">
        <v>20000</v>
      </c>
      <c r="H12" t="s">
        <v>34</v>
      </c>
      <c r="I12" s="1">
        <v>20000</v>
      </c>
      <c r="K12" t="s">
        <v>34</v>
      </c>
      <c r="L12" s="1">
        <v>20000</v>
      </c>
    </row>
    <row r="13" spans="2:12" x14ac:dyDescent="0.35">
      <c r="B13" t="s">
        <v>35</v>
      </c>
      <c r="C13" s="1">
        <v>0</v>
      </c>
      <c r="E13" t="s">
        <v>67</v>
      </c>
      <c r="F13" s="1">
        <f>'Costs 15%'!G5/15</f>
        <v>149333.33333333334</v>
      </c>
      <c r="H13" t="s">
        <v>67</v>
      </c>
      <c r="I13" s="1">
        <f>'Costs 15%'!G6/15</f>
        <v>84000</v>
      </c>
      <c r="K13" t="s">
        <v>67</v>
      </c>
      <c r="L13" s="1"/>
    </row>
    <row r="14" spans="2:12" x14ac:dyDescent="0.35">
      <c r="B14" s="15" t="s">
        <v>54</v>
      </c>
      <c r="C14" s="1">
        <f>50*C8</f>
        <v>285612.5</v>
      </c>
      <c r="E14" s="15" t="s">
        <v>54</v>
      </c>
      <c r="F14" s="1">
        <f>50*F8</f>
        <v>162425</v>
      </c>
      <c r="H14" s="15" t="s">
        <v>54</v>
      </c>
      <c r="I14" s="1">
        <f>50*I8</f>
        <v>162425</v>
      </c>
      <c r="K14" s="15" t="s">
        <v>54</v>
      </c>
      <c r="L14" s="1">
        <f>50*L8</f>
        <v>162425</v>
      </c>
    </row>
    <row r="15" spans="2:12" x14ac:dyDescent="0.35">
      <c r="B15" s="2" t="s">
        <v>36</v>
      </c>
      <c r="C15" s="9">
        <f>SUM(C10:C14)</f>
        <v>2041258.5</v>
      </c>
      <c r="E15" s="2" t="s">
        <v>77</v>
      </c>
      <c r="F15" s="9">
        <f>SUM(F10:F14)</f>
        <v>1336162.3333333333</v>
      </c>
      <c r="H15" s="2" t="s">
        <v>78</v>
      </c>
      <c r="I15" s="9">
        <f>SUM(I10:I14)</f>
        <v>1270829</v>
      </c>
      <c r="K15" s="2" t="s">
        <v>79</v>
      </c>
      <c r="L15" s="9">
        <f>SUM(L10:L14)</f>
        <v>1186829</v>
      </c>
    </row>
    <row r="17" spans="5:12" x14ac:dyDescent="0.35">
      <c r="E17" t="s">
        <v>37</v>
      </c>
      <c r="F17" s="5">
        <f>C15</f>
        <v>2041258.5</v>
      </c>
      <c r="H17" t="s">
        <v>37</v>
      </c>
      <c r="I17" s="5">
        <f>C15</f>
        <v>2041258.5</v>
      </c>
      <c r="K17" t="s">
        <v>37</v>
      </c>
      <c r="L17" s="5">
        <f>C15</f>
        <v>2041258.5</v>
      </c>
    </row>
    <row r="18" spans="5:12" x14ac:dyDescent="0.35">
      <c r="E18" t="s">
        <v>38</v>
      </c>
      <c r="F18" s="5">
        <f>F15</f>
        <v>1336162.3333333333</v>
      </c>
      <c r="H18" t="s">
        <v>38</v>
      </c>
      <c r="I18" s="5">
        <f>I15</f>
        <v>1270829</v>
      </c>
      <c r="K18" t="s">
        <v>38</v>
      </c>
      <c r="L18" s="5">
        <f>L15</f>
        <v>1186829</v>
      </c>
    </row>
    <row r="19" spans="5:12" x14ac:dyDescent="0.35">
      <c r="E19" s="3" t="s">
        <v>65</v>
      </c>
      <c r="F19" s="8">
        <f>F17-F18</f>
        <v>705096.16666666674</v>
      </c>
      <c r="H19" s="3" t="s">
        <v>65</v>
      </c>
      <c r="I19" s="8">
        <f>I17-I18</f>
        <v>770429.5</v>
      </c>
      <c r="K19" s="3" t="s">
        <v>65</v>
      </c>
      <c r="L19" s="8">
        <f>L17-L18</f>
        <v>854429.5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8CD0-5187-4E9B-AB88-218957DBEFDE}">
  <dimension ref="B1:O16"/>
  <sheetViews>
    <sheetView topLeftCell="B1" workbookViewId="0">
      <selection activeCell="N12" sqref="N12"/>
    </sheetView>
  </sheetViews>
  <sheetFormatPr baseColWidth="10" defaultRowHeight="14.5" x14ac:dyDescent="0.35"/>
  <cols>
    <col min="2" max="2" width="18.81640625" bestFit="1" customWidth="1"/>
    <col min="8" max="8" width="11.54296875" bestFit="1" customWidth="1"/>
    <col min="9" max="9" width="11.7265625" bestFit="1" customWidth="1"/>
  </cols>
  <sheetData>
    <row r="1" spans="2:15" x14ac:dyDescent="0.35">
      <c r="H1" s="19" t="s">
        <v>63</v>
      </c>
      <c r="I1" s="19"/>
      <c r="K1" s="19" t="s">
        <v>64</v>
      </c>
      <c r="L1" s="19"/>
      <c r="N1" s="19" t="s">
        <v>62</v>
      </c>
      <c r="O1" s="19"/>
    </row>
    <row r="2" spans="2:15" x14ac:dyDescent="0.35">
      <c r="B2" t="s">
        <v>39</v>
      </c>
      <c r="C2">
        <v>20</v>
      </c>
      <c r="E2" t="s">
        <v>59</v>
      </c>
      <c r="F2" s="5">
        <f>'CAPEX 15%'!C14</f>
        <v>4055562.5</v>
      </c>
      <c r="H2" s="3" t="s">
        <v>42</v>
      </c>
      <c r="I2" s="8">
        <f>SUM($C$9:$L$9)-F2</f>
        <v>675690.17241491564</v>
      </c>
      <c r="K2" s="3" t="s">
        <v>42</v>
      </c>
      <c r="L2" s="8">
        <f>SUM($C$9:$L$9)+SUM($C$14:$G$14)-F2</f>
        <v>1979693.1115219137</v>
      </c>
      <c r="N2" s="3" t="s">
        <v>42</v>
      </c>
      <c r="O2" s="8">
        <f>SUM($C$9:$L$9)+SUM($C$14:$L$14)-F2</f>
        <v>2867175.6007607644</v>
      </c>
    </row>
    <row r="3" spans="2:15" x14ac:dyDescent="0.35">
      <c r="B3" t="s">
        <v>40</v>
      </c>
      <c r="C3" s="10">
        <v>0.08</v>
      </c>
      <c r="E3" t="s">
        <v>60</v>
      </c>
      <c r="F3" s="5">
        <f>'CAPEX 15%'!F14</f>
        <v>2904237.5</v>
      </c>
      <c r="H3" s="3" t="s">
        <v>43</v>
      </c>
      <c r="I3" s="8">
        <f>SUM($C$10:$L$10)-F3</f>
        <v>2265407.1571457563</v>
      </c>
      <c r="K3" s="3" t="s">
        <v>43</v>
      </c>
      <c r="L3" s="8">
        <f>SUM($C$10:$L$10)+SUM($C$15:$G$15)-F3</f>
        <v>3690237.3857997693</v>
      </c>
      <c r="N3" s="3" t="s">
        <v>43</v>
      </c>
      <c r="O3" s="8">
        <f>SUM($C$10:$L$10)+SUM($C$15:$L$15)-F3</f>
        <v>4659952.8980474509</v>
      </c>
    </row>
    <row r="4" spans="2:15" x14ac:dyDescent="0.35">
      <c r="B4" t="s">
        <v>80</v>
      </c>
      <c r="C4" s="5">
        <f>'OPEX 15%'!F19</f>
        <v>705096.16666666674</v>
      </c>
      <c r="E4" t="s">
        <v>61</v>
      </c>
      <c r="F4" s="5">
        <f>'CAPEX 15%'!I14</f>
        <v>4236337.5</v>
      </c>
      <c r="H4" s="3" t="s">
        <v>44</v>
      </c>
      <c r="I4" s="8">
        <f>SUM($C$11:$L$11)-F4</f>
        <v>1496953.9946568366</v>
      </c>
      <c r="K4" s="3" t="s">
        <v>44</v>
      </c>
      <c r="L4" s="8">
        <f>SUM($C$11:$L$11)+SUM($C$16:$G$16)-F4</f>
        <v>3077133.5955855828</v>
      </c>
      <c r="N4" s="3" t="s">
        <v>44</v>
      </c>
      <c r="O4" s="8">
        <f>SUM($C$11:$L$11)+SUM($C$16:$L$16)-F4</f>
        <v>4152577.2802731898</v>
      </c>
    </row>
    <row r="5" spans="2:15" x14ac:dyDescent="0.35">
      <c r="B5" t="s">
        <v>81</v>
      </c>
      <c r="C5" s="5">
        <f>'OPEX 15%'!I19</f>
        <v>770429.5</v>
      </c>
    </row>
    <row r="6" spans="2:15" x14ac:dyDescent="0.35">
      <c r="B6" t="s">
        <v>82</v>
      </c>
      <c r="C6" s="5">
        <f>'OPEX 15%'!L19</f>
        <v>854429.5</v>
      </c>
    </row>
    <row r="7" spans="2:15" x14ac:dyDescent="0.35">
      <c r="C7" s="19" t="s">
        <v>41</v>
      </c>
      <c r="D7" s="19"/>
      <c r="E7" s="19"/>
      <c r="F7" s="19"/>
      <c r="G7" s="19"/>
      <c r="H7" s="19"/>
      <c r="I7" s="19"/>
      <c r="J7" s="19"/>
      <c r="K7" s="19"/>
      <c r="L7" s="19"/>
    </row>
    <row r="8" spans="2:15" x14ac:dyDescent="0.35"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</row>
    <row r="9" spans="2:15" x14ac:dyDescent="0.35">
      <c r="B9" s="18" t="s">
        <v>3</v>
      </c>
      <c r="C9" s="5">
        <f>$C$4/((1+$C$3)^C8)</f>
        <v>652866.82098765438</v>
      </c>
      <c r="D9" s="5">
        <f t="shared" ref="D9:L9" si="0">$C$4/((1+$C$3)^D8)</f>
        <v>604506.31572930957</v>
      </c>
      <c r="E9" s="5">
        <f t="shared" si="0"/>
        <v>559728.07011973101</v>
      </c>
      <c r="F9" s="5">
        <f t="shared" si="0"/>
        <v>518266.73159234354</v>
      </c>
      <c r="G9" s="5">
        <f t="shared" si="0"/>
        <v>479876.60332624399</v>
      </c>
      <c r="H9" s="5">
        <f t="shared" si="0"/>
        <v>444330.18826504069</v>
      </c>
      <c r="I9" s="5">
        <f t="shared" si="0"/>
        <v>411416.84098614875</v>
      </c>
      <c r="J9" s="5">
        <f t="shared" si="0"/>
        <v>380941.51943161921</v>
      </c>
      <c r="K9" s="5">
        <f t="shared" si="0"/>
        <v>352723.62910335109</v>
      </c>
      <c r="L9" s="5">
        <f t="shared" si="0"/>
        <v>326595.95287347323</v>
      </c>
    </row>
    <row r="10" spans="2:15" x14ac:dyDescent="0.35">
      <c r="B10" s="18" t="s">
        <v>4</v>
      </c>
      <c r="C10" s="5">
        <f>$C$5/((1+$C$3)^C8)</f>
        <v>713360.64814814809</v>
      </c>
      <c r="D10" s="5">
        <f t="shared" ref="D10:L10" si="1">$C$5/((1+$C$3)^D8)</f>
        <v>660519.11865569267</v>
      </c>
      <c r="E10" s="5">
        <f t="shared" si="1"/>
        <v>611591.77653304872</v>
      </c>
      <c r="F10" s="5">
        <f t="shared" si="1"/>
        <v>566288.68197504513</v>
      </c>
      <c r="G10" s="5">
        <f t="shared" si="1"/>
        <v>524341.37219911581</v>
      </c>
      <c r="H10" s="5">
        <f t="shared" si="1"/>
        <v>485501.27055473678</v>
      </c>
      <c r="I10" s="5">
        <f t="shared" si="1"/>
        <v>449538.21347660816</v>
      </c>
      <c r="J10" s="5">
        <f t="shared" si="1"/>
        <v>416239.08655241493</v>
      </c>
      <c r="K10" s="5">
        <f t="shared" si="1"/>
        <v>385406.56162260642</v>
      </c>
      <c r="L10" s="5">
        <f t="shared" si="1"/>
        <v>356857.92742833926</v>
      </c>
    </row>
    <row r="11" spans="2:15" x14ac:dyDescent="0.35">
      <c r="B11" s="18" t="s">
        <v>5</v>
      </c>
      <c r="C11" s="5">
        <f>$C$6/((1+$C$3)^C8)</f>
        <v>791138.42592592584</v>
      </c>
      <c r="D11" s="5">
        <f t="shared" ref="D11:L11" si="2">$C$6/((1+$C$3)^D8)</f>
        <v>732535.57956104248</v>
      </c>
      <c r="E11" s="5">
        <f t="shared" si="2"/>
        <v>678273.68477874296</v>
      </c>
      <c r="F11" s="5">
        <f t="shared" si="2"/>
        <v>628031.18960994715</v>
      </c>
      <c r="G11" s="5">
        <f t="shared" si="2"/>
        <v>581510.3607499511</v>
      </c>
      <c r="H11" s="5">
        <f t="shared" si="2"/>
        <v>538435.51921291754</v>
      </c>
      <c r="I11" s="5">
        <f t="shared" si="2"/>
        <v>498551.40667862736</v>
      </c>
      <c r="J11" s="5">
        <f t="shared" si="2"/>
        <v>461621.67285058089</v>
      </c>
      <c r="K11" s="5">
        <f t="shared" si="2"/>
        <v>427427.47486164898</v>
      </c>
      <c r="L11" s="5">
        <f t="shared" si="2"/>
        <v>395766.18042745272</v>
      </c>
    </row>
    <row r="12" spans="2:15" x14ac:dyDescent="0.35">
      <c r="B12" s="18"/>
    </row>
    <row r="13" spans="2:15" x14ac:dyDescent="0.35">
      <c r="B13" s="18"/>
      <c r="C13" s="2">
        <v>11</v>
      </c>
      <c r="D13" s="2">
        <v>12</v>
      </c>
      <c r="E13" s="2">
        <v>13</v>
      </c>
      <c r="F13" s="2">
        <v>14</v>
      </c>
      <c r="G13" s="2">
        <v>15</v>
      </c>
      <c r="H13" s="2">
        <v>16</v>
      </c>
      <c r="I13" s="2">
        <v>17</v>
      </c>
      <c r="J13" s="2">
        <v>18</v>
      </c>
      <c r="K13" s="2">
        <v>19</v>
      </c>
      <c r="L13" s="2">
        <v>20</v>
      </c>
    </row>
    <row r="14" spans="2:15" x14ac:dyDescent="0.35">
      <c r="B14" s="18" t="s">
        <v>3</v>
      </c>
      <c r="C14" s="5">
        <f t="shared" ref="C14:L14" si="3">$C$4/((1+$C$3)^C13)</f>
        <v>302403.66006803076</v>
      </c>
      <c r="D14" s="5">
        <f t="shared" si="3"/>
        <v>280003.38895188033</v>
      </c>
      <c r="E14" s="5">
        <f t="shared" si="3"/>
        <v>259262.39717766698</v>
      </c>
      <c r="F14" s="5">
        <f t="shared" si="3"/>
        <v>240057.77516450643</v>
      </c>
      <c r="G14" s="5">
        <f t="shared" si="3"/>
        <v>222275.71774491333</v>
      </c>
      <c r="H14" s="5">
        <f t="shared" si="3"/>
        <v>205810.84976380866</v>
      </c>
      <c r="I14" s="5">
        <f t="shared" si="3"/>
        <v>190565.60163315616</v>
      </c>
      <c r="J14" s="5">
        <f t="shared" si="3"/>
        <v>176449.63114181123</v>
      </c>
      <c r="K14" s="5">
        <f t="shared" si="3"/>
        <v>163379.28809426964</v>
      </c>
      <c r="L14" s="5">
        <f t="shared" si="3"/>
        <v>151277.11860580524</v>
      </c>
    </row>
    <row r="15" spans="2:15" x14ac:dyDescent="0.35">
      <c r="B15" s="18" t="s">
        <v>4</v>
      </c>
      <c r="C15" s="5">
        <f>$C$5/((1+$C$3)^C13)</f>
        <v>330424.0068780919</v>
      </c>
      <c r="D15" s="5">
        <f t="shared" ref="D15:K15" si="4">$C$5/((1+$C$3)^D13)</f>
        <v>305948.1545167517</v>
      </c>
      <c r="E15" s="5">
        <f t="shared" si="4"/>
        <v>283285.32825625158</v>
      </c>
      <c r="F15" s="5">
        <f t="shared" si="4"/>
        <v>262301.22986689961</v>
      </c>
      <c r="G15" s="5">
        <f t="shared" si="4"/>
        <v>242871.50913601811</v>
      </c>
      <c r="H15" s="5">
        <f t="shared" si="4"/>
        <v>224881.02697779457</v>
      </c>
      <c r="I15" s="5">
        <f t="shared" si="4"/>
        <v>208223.17312758756</v>
      </c>
      <c r="J15" s="5">
        <f t="shared" si="4"/>
        <v>192799.23437739586</v>
      </c>
      <c r="K15" s="5">
        <f t="shared" si="4"/>
        <v>178517.80960869984</v>
      </c>
      <c r="L15" s="5">
        <f>$C$5/((1+$C$3)^L13)</f>
        <v>165294.26815620359</v>
      </c>
    </row>
    <row r="16" spans="2:15" x14ac:dyDescent="0.35">
      <c r="B16" s="18" t="s">
        <v>5</v>
      </c>
      <c r="C16" s="5">
        <f>$C$6/((1+$C$3)^C13)</f>
        <v>366450.16706245625</v>
      </c>
      <c r="D16" s="5">
        <f t="shared" ref="D16:L16" si="5">$C$6/((1+$C$3)^D13)</f>
        <v>339305.71024301497</v>
      </c>
      <c r="E16" s="5">
        <f t="shared" si="5"/>
        <v>314171.95392871759</v>
      </c>
      <c r="F16" s="5">
        <f t="shared" si="5"/>
        <v>290899.9573414051</v>
      </c>
      <c r="G16" s="5">
        <f t="shared" si="5"/>
        <v>269351.8123531529</v>
      </c>
      <c r="H16" s="5">
        <f t="shared" si="5"/>
        <v>249399.82625291933</v>
      </c>
      <c r="I16" s="5">
        <f t="shared" si="5"/>
        <v>230925.76504899937</v>
      </c>
      <c r="J16" s="5">
        <f t="shared" si="5"/>
        <v>213820.15282314754</v>
      </c>
      <c r="K16" s="5">
        <f t="shared" si="5"/>
        <v>197981.62298439586</v>
      </c>
      <c r="L16" s="5">
        <f t="shared" si="5"/>
        <v>183316.31757814431</v>
      </c>
    </row>
  </sheetData>
  <mergeCells count="4">
    <mergeCell ref="C7:L7"/>
    <mergeCell ref="H1:I1"/>
    <mergeCell ref="K1:L1"/>
    <mergeCell ref="N1:O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41AB-FA05-4689-970F-41940E5E4D56}">
  <dimension ref="B1:V19"/>
  <sheetViews>
    <sheetView workbookViewId="0">
      <selection activeCell="B19" sqref="B19"/>
    </sheetView>
  </sheetViews>
  <sheetFormatPr baseColWidth="10" defaultRowHeight="14.5" x14ac:dyDescent="0.35"/>
  <cols>
    <col min="2" max="2" width="18.81640625" bestFit="1" customWidth="1"/>
    <col min="9" max="9" width="11.26953125" bestFit="1" customWidth="1"/>
  </cols>
  <sheetData>
    <row r="1" spans="2:22" x14ac:dyDescent="0.35">
      <c r="E1" s="19" t="s">
        <v>63</v>
      </c>
      <c r="F1" s="19"/>
      <c r="H1" s="19" t="s">
        <v>64</v>
      </c>
      <c r="I1" s="19"/>
      <c r="K1" s="19" t="s">
        <v>62</v>
      </c>
      <c r="L1" s="19"/>
    </row>
    <row r="2" spans="2:22" x14ac:dyDescent="0.35">
      <c r="B2" t="s">
        <v>80</v>
      </c>
      <c r="C2" s="5">
        <f>'OPEX 15%'!F19</f>
        <v>705096.16666666674</v>
      </c>
      <c r="E2" s="3" t="s">
        <v>45</v>
      </c>
      <c r="F2" s="11">
        <f>IRR(B9:L9)</f>
        <v>0.11567039840778071</v>
      </c>
      <c r="H2" s="3" t="s">
        <v>45</v>
      </c>
      <c r="I2" s="11">
        <f>IRR(B9:Q9)</f>
        <v>0.15342482052643835</v>
      </c>
      <c r="K2" s="3" t="s">
        <v>45</v>
      </c>
      <c r="L2" s="11">
        <f>IRR(B9:V9)</f>
        <v>0.1657690645174994</v>
      </c>
    </row>
    <row r="3" spans="2:22" x14ac:dyDescent="0.35">
      <c r="B3" t="s">
        <v>81</v>
      </c>
      <c r="C3" s="5">
        <f>'OPEX 15%'!I19</f>
        <v>770429.5</v>
      </c>
      <c r="E3" s="3" t="s">
        <v>49</v>
      </c>
      <c r="F3" s="11">
        <f>IRR(B14:L14)</f>
        <v>0.23247399725711548</v>
      </c>
      <c r="H3" s="3" t="s">
        <v>49</v>
      </c>
      <c r="I3" s="11">
        <f>IRR(B14:Q14)</f>
        <v>0.25665908063956078</v>
      </c>
      <c r="K3" s="3" t="s">
        <v>49</v>
      </c>
      <c r="L3" s="11">
        <f>IRR(B14:V14)</f>
        <v>0.26278237450593123</v>
      </c>
    </row>
    <row r="4" spans="2:22" x14ac:dyDescent="0.35">
      <c r="B4" t="s">
        <v>82</v>
      </c>
      <c r="C4" s="5">
        <f>'OPEX 15%'!L19</f>
        <v>854429.5</v>
      </c>
      <c r="E4" s="3" t="s">
        <v>50</v>
      </c>
      <c r="F4" s="11">
        <f>IRR(B19:L19)</f>
        <v>0.15320352828920369</v>
      </c>
      <c r="H4" s="3" t="s">
        <v>50</v>
      </c>
      <c r="I4" s="11">
        <f>IRR(B19:Q19)</f>
        <v>0.18609986809100176</v>
      </c>
      <c r="K4" s="3" t="s">
        <v>50</v>
      </c>
      <c r="L4" s="11">
        <f>IRR(B19:V19)</f>
        <v>0.19607328177660022</v>
      </c>
    </row>
    <row r="7" spans="2:22" x14ac:dyDescent="0.35">
      <c r="C7" s="19" t="s">
        <v>46</v>
      </c>
      <c r="D7" s="19"/>
      <c r="E7" s="19"/>
      <c r="F7" s="19"/>
      <c r="G7" s="19"/>
      <c r="H7" s="19"/>
      <c r="I7" s="19"/>
      <c r="J7" s="19"/>
      <c r="K7" s="19"/>
      <c r="L7" s="19"/>
    </row>
    <row r="8" spans="2:22" x14ac:dyDescent="0.35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</row>
    <row r="9" spans="2:22" x14ac:dyDescent="0.35">
      <c r="B9" s="5">
        <f>-'CAPEX 15%'!C14</f>
        <v>-4055562.5</v>
      </c>
      <c r="C9" s="5">
        <f t="shared" ref="C9:V9" si="0">$C$2</f>
        <v>705096.16666666674</v>
      </c>
      <c r="D9" s="5">
        <f t="shared" si="0"/>
        <v>705096.16666666674</v>
      </c>
      <c r="E9" s="5">
        <f t="shared" si="0"/>
        <v>705096.16666666674</v>
      </c>
      <c r="F9" s="5">
        <f t="shared" si="0"/>
        <v>705096.16666666674</v>
      </c>
      <c r="G9" s="5">
        <f t="shared" si="0"/>
        <v>705096.16666666674</v>
      </c>
      <c r="H9" s="5">
        <f t="shared" si="0"/>
        <v>705096.16666666674</v>
      </c>
      <c r="I9" s="5">
        <f t="shared" si="0"/>
        <v>705096.16666666674</v>
      </c>
      <c r="J9" s="5">
        <f t="shared" si="0"/>
        <v>705096.16666666674</v>
      </c>
      <c r="K9" s="5">
        <f t="shared" si="0"/>
        <v>705096.16666666674</v>
      </c>
      <c r="L9" s="5">
        <f t="shared" si="0"/>
        <v>705096.16666666674</v>
      </c>
      <c r="M9" s="5">
        <f t="shared" si="0"/>
        <v>705096.16666666674</v>
      </c>
      <c r="N9" s="5">
        <f t="shared" si="0"/>
        <v>705096.16666666674</v>
      </c>
      <c r="O9" s="5">
        <f t="shared" si="0"/>
        <v>705096.16666666674</v>
      </c>
      <c r="P9" s="5">
        <f t="shared" si="0"/>
        <v>705096.16666666674</v>
      </c>
      <c r="Q9" s="5">
        <f t="shared" si="0"/>
        <v>705096.16666666674</v>
      </c>
      <c r="R9" s="5">
        <f t="shared" si="0"/>
        <v>705096.16666666674</v>
      </c>
      <c r="S9" s="5">
        <f t="shared" si="0"/>
        <v>705096.16666666674</v>
      </c>
      <c r="T9" s="5">
        <f t="shared" si="0"/>
        <v>705096.16666666674</v>
      </c>
      <c r="U9" s="5">
        <f t="shared" si="0"/>
        <v>705096.16666666674</v>
      </c>
      <c r="V9" s="5">
        <f t="shared" si="0"/>
        <v>705096.16666666674</v>
      </c>
    </row>
    <row r="12" spans="2:22" x14ac:dyDescent="0.35">
      <c r="C12" s="19" t="s">
        <v>47</v>
      </c>
      <c r="D12" s="19"/>
      <c r="E12" s="19"/>
      <c r="F12" s="19"/>
      <c r="G12" s="19"/>
      <c r="H12" s="19"/>
      <c r="I12" s="19"/>
      <c r="J12" s="19"/>
      <c r="K12" s="19"/>
      <c r="L12" s="19"/>
    </row>
    <row r="13" spans="2:22" x14ac:dyDescent="0.35">
      <c r="B13">
        <v>0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11</v>
      </c>
      <c r="N13">
        <v>12</v>
      </c>
      <c r="O13">
        <v>13</v>
      </c>
      <c r="P13">
        <v>14</v>
      </c>
      <c r="Q13">
        <v>15</v>
      </c>
      <c r="R13">
        <v>16</v>
      </c>
      <c r="S13">
        <v>17</v>
      </c>
      <c r="T13">
        <v>18</v>
      </c>
      <c r="U13">
        <v>19</v>
      </c>
      <c r="V13">
        <v>20</v>
      </c>
    </row>
    <row r="14" spans="2:22" x14ac:dyDescent="0.35">
      <c r="B14" s="5">
        <f>-'CAPEX 15%'!F14</f>
        <v>-2904237.5</v>
      </c>
      <c r="C14" s="5">
        <f>$C$3</f>
        <v>770429.5</v>
      </c>
      <c r="D14" s="5">
        <f t="shared" ref="D14:V14" si="1">$C$3</f>
        <v>770429.5</v>
      </c>
      <c r="E14" s="5">
        <f t="shared" si="1"/>
        <v>770429.5</v>
      </c>
      <c r="F14" s="5">
        <f t="shared" si="1"/>
        <v>770429.5</v>
      </c>
      <c r="G14" s="5">
        <f t="shared" si="1"/>
        <v>770429.5</v>
      </c>
      <c r="H14" s="5">
        <f t="shared" si="1"/>
        <v>770429.5</v>
      </c>
      <c r="I14" s="5">
        <f t="shared" si="1"/>
        <v>770429.5</v>
      </c>
      <c r="J14" s="5">
        <f t="shared" si="1"/>
        <v>770429.5</v>
      </c>
      <c r="K14" s="5">
        <f t="shared" si="1"/>
        <v>770429.5</v>
      </c>
      <c r="L14" s="5">
        <f t="shared" si="1"/>
        <v>770429.5</v>
      </c>
      <c r="M14" s="5">
        <f t="shared" si="1"/>
        <v>770429.5</v>
      </c>
      <c r="N14" s="5">
        <f t="shared" si="1"/>
        <v>770429.5</v>
      </c>
      <c r="O14" s="5">
        <f t="shared" si="1"/>
        <v>770429.5</v>
      </c>
      <c r="P14" s="5">
        <f t="shared" si="1"/>
        <v>770429.5</v>
      </c>
      <c r="Q14" s="5">
        <f t="shared" si="1"/>
        <v>770429.5</v>
      </c>
      <c r="R14" s="5">
        <f t="shared" si="1"/>
        <v>770429.5</v>
      </c>
      <c r="S14" s="5">
        <f t="shared" si="1"/>
        <v>770429.5</v>
      </c>
      <c r="T14" s="5">
        <f t="shared" si="1"/>
        <v>770429.5</v>
      </c>
      <c r="U14" s="5">
        <f t="shared" si="1"/>
        <v>770429.5</v>
      </c>
      <c r="V14" s="5">
        <f t="shared" si="1"/>
        <v>770429.5</v>
      </c>
    </row>
    <row r="17" spans="2:22" x14ac:dyDescent="0.35">
      <c r="C17" s="19" t="s">
        <v>48</v>
      </c>
      <c r="D17" s="19"/>
      <c r="E17" s="19"/>
      <c r="F17" s="19"/>
      <c r="G17" s="19"/>
      <c r="H17" s="19"/>
      <c r="I17" s="19"/>
      <c r="J17" s="19"/>
      <c r="K17" s="19"/>
      <c r="L17" s="19"/>
    </row>
    <row r="18" spans="2:22" x14ac:dyDescent="0.35">
      <c r="B18">
        <v>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11</v>
      </c>
      <c r="N18">
        <v>12</v>
      </c>
      <c r="O18">
        <v>13</v>
      </c>
      <c r="P18">
        <v>14</v>
      </c>
      <c r="Q18">
        <v>15</v>
      </c>
      <c r="R18">
        <v>16</v>
      </c>
      <c r="S18">
        <v>17</v>
      </c>
      <c r="T18">
        <v>18</v>
      </c>
      <c r="U18">
        <v>19</v>
      </c>
      <c r="V18">
        <v>20</v>
      </c>
    </row>
    <row r="19" spans="2:22" x14ac:dyDescent="0.35">
      <c r="B19" s="5">
        <f>-'CAPEX 15%'!I14</f>
        <v>-4236337.5</v>
      </c>
      <c r="C19" s="5">
        <f>$C$4</f>
        <v>854429.5</v>
      </c>
      <c r="D19" s="5">
        <f t="shared" ref="D19:V19" si="2">$C$4</f>
        <v>854429.5</v>
      </c>
      <c r="E19" s="5">
        <f t="shared" si="2"/>
        <v>854429.5</v>
      </c>
      <c r="F19" s="5">
        <f t="shared" si="2"/>
        <v>854429.5</v>
      </c>
      <c r="G19" s="5">
        <f t="shared" si="2"/>
        <v>854429.5</v>
      </c>
      <c r="H19" s="5">
        <f t="shared" si="2"/>
        <v>854429.5</v>
      </c>
      <c r="I19" s="5">
        <f t="shared" si="2"/>
        <v>854429.5</v>
      </c>
      <c r="J19" s="5">
        <f t="shared" si="2"/>
        <v>854429.5</v>
      </c>
      <c r="K19" s="5">
        <f t="shared" si="2"/>
        <v>854429.5</v>
      </c>
      <c r="L19" s="5">
        <f t="shared" si="2"/>
        <v>854429.5</v>
      </c>
      <c r="M19" s="5">
        <f t="shared" si="2"/>
        <v>854429.5</v>
      </c>
      <c r="N19" s="5">
        <f t="shared" si="2"/>
        <v>854429.5</v>
      </c>
      <c r="O19" s="5">
        <f t="shared" si="2"/>
        <v>854429.5</v>
      </c>
      <c r="P19" s="5">
        <f t="shared" si="2"/>
        <v>854429.5</v>
      </c>
      <c r="Q19" s="5">
        <f t="shared" si="2"/>
        <v>854429.5</v>
      </c>
      <c r="R19" s="5">
        <f t="shared" si="2"/>
        <v>854429.5</v>
      </c>
      <c r="S19" s="5">
        <f t="shared" si="2"/>
        <v>854429.5</v>
      </c>
      <c r="T19" s="5">
        <f t="shared" si="2"/>
        <v>854429.5</v>
      </c>
      <c r="U19" s="5">
        <f t="shared" si="2"/>
        <v>854429.5</v>
      </c>
      <c r="V19" s="5">
        <f t="shared" si="2"/>
        <v>854429.5</v>
      </c>
    </row>
  </sheetData>
  <mergeCells count="6">
    <mergeCell ref="C7:L7"/>
    <mergeCell ref="C12:L12"/>
    <mergeCell ref="C17:L17"/>
    <mergeCell ref="E1:F1"/>
    <mergeCell ref="H1:I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BD9-4AB4-44E4-A602-35786004721C}">
  <dimension ref="B2:Y32"/>
  <sheetViews>
    <sheetView tabSelected="1" workbookViewId="0">
      <selection activeCell="K3" sqref="K3"/>
    </sheetView>
  </sheetViews>
  <sheetFormatPr baseColWidth="10" defaultRowHeight="14.5" x14ac:dyDescent="0.35"/>
  <cols>
    <col min="2" max="2" width="18" bestFit="1" customWidth="1"/>
    <col min="3" max="5" width="11.7265625" bestFit="1" customWidth="1"/>
    <col min="6" max="6" width="11.54296875" bestFit="1" customWidth="1"/>
    <col min="7" max="8" width="11.7265625" bestFit="1" customWidth="1"/>
    <col min="9" max="9" width="11.26953125" bestFit="1" customWidth="1"/>
    <col min="10" max="10" width="11.6328125" bestFit="1" customWidth="1"/>
    <col min="11" max="12" width="12" bestFit="1" customWidth="1"/>
    <col min="16" max="16" width="11.7265625" bestFit="1" customWidth="1"/>
  </cols>
  <sheetData>
    <row r="2" spans="2:25" x14ac:dyDescent="0.35">
      <c r="B2" t="s">
        <v>39</v>
      </c>
      <c r="C2">
        <v>20</v>
      </c>
      <c r="E2" t="s">
        <v>59</v>
      </c>
      <c r="F2" s="5">
        <f>'CAPEX 15%'!C14</f>
        <v>4055562.5</v>
      </c>
      <c r="H2" s="3" t="s">
        <v>51</v>
      </c>
      <c r="I2" s="12">
        <f>F2/$C$4</f>
        <v>5.7517863402557143</v>
      </c>
    </row>
    <row r="3" spans="2:25" x14ac:dyDescent="0.35">
      <c r="B3" t="s">
        <v>40</v>
      </c>
      <c r="C3" s="10">
        <v>0</v>
      </c>
      <c r="E3" t="s">
        <v>60</v>
      </c>
      <c r="F3" s="5">
        <f>'CAPEX 15%'!F14</f>
        <v>2904237.5</v>
      </c>
      <c r="H3" s="3" t="s">
        <v>52</v>
      </c>
      <c r="I3" s="12">
        <f>F3/$C$5</f>
        <v>3.7696343403257533</v>
      </c>
    </row>
    <row r="4" spans="2:25" x14ac:dyDescent="0.35">
      <c r="B4" t="s">
        <v>83</v>
      </c>
      <c r="C4" s="5">
        <f>'OPEX 15%'!F19</f>
        <v>705096.16666666674</v>
      </c>
      <c r="E4" t="s">
        <v>61</v>
      </c>
      <c r="F4" s="5">
        <f>'CAPEX 15%'!I14</f>
        <v>4236337.5</v>
      </c>
      <c r="H4" s="3" t="s">
        <v>53</v>
      </c>
      <c r="I4" s="12">
        <f>F4/$C$6</f>
        <v>4.958088993884223</v>
      </c>
    </row>
    <row r="5" spans="2:25" x14ac:dyDescent="0.35">
      <c r="B5" t="s">
        <v>81</v>
      </c>
      <c r="C5" s="5">
        <f>'OPEX 15%'!I19</f>
        <v>770429.5</v>
      </c>
    </row>
    <row r="6" spans="2:25" x14ac:dyDescent="0.35">
      <c r="B6" t="s">
        <v>82</v>
      </c>
      <c r="C6" s="5">
        <f>'OPEX 15%'!L19</f>
        <v>854429.5</v>
      </c>
    </row>
    <row r="7" spans="2:25" x14ac:dyDescent="0.35">
      <c r="C7" s="19" t="s">
        <v>51</v>
      </c>
      <c r="D7" s="19"/>
      <c r="E7" s="19"/>
      <c r="F7" s="19"/>
      <c r="G7" s="19"/>
      <c r="H7" s="19"/>
      <c r="I7" s="19"/>
      <c r="J7" s="19"/>
      <c r="K7" s="19"/>
      <c r="L7" s="19"/>
      <c r="P7" s="19" t="s">
        <v>51</v>
      </c>
      <c r="Q7" s="19"/>
      <c r="R7" s="19"/>
      <c r="S7" s="19"/>
      <c r="T7" s="19"/>
      <c r="U7" s="19"/>
      <c r="V7" s="19"/>
      <c r="W7" s="19"/>
      <c r="X7" s="19"/>
      <c r="Y7" s="19"/>
    </row>
    <row r="8" spans="2:25" x14ac:dyDescent="0.35"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 s="14">
        <v>8</v>
      </c>
      <c r="K8">
        <v>9</v>
      </c>
      <c r="L8">
        <v>10</v>
      </c>
      <c r="P8">
        <v>1</v>
      </c>
      <c r="Q8">
        <v>2</v>
      </c>
      <c r="R8">
        <v>3</v>
      </c>
      <c r="S8">
        <v>4</v>
      </c>
      <c r="T8">
        <v>5</v>
      </c>
      <c r="U8" s="14">
        <v>6</v>
      </c>
      <c r="V8">
        <v>7</v>
      </c>
      <c r="W8">
        <v>8</v>
      </c>
      <c r="X8">
        <v>9</v>
      </c>
      <c r="Y8">
        <v>10</v>
      </c>
    </row>
    <row r="9" spans="2:25" x14ac:dyDescent="0.35">
      <c r="B9" s="5">
        <f>-F2</f>
        <v>-4055562.5</v>
      </c>
      <c r="C9" s="5">
        <f>$C$4*C8-$F$2</f>
        <v>-3350466.333333333</v>
      </c>
      <c r="D9" s="5">
        <f t="shared" ref="D9:L9" si="0">$C$4*D8-$F$2</f>
        <v>-2645370.1666666665</v>
      </c>
      <c r="E9" s="5">
        <f>$C$4*E8-$F$2</f>
        <v>-1940274</v>
      </c>
      <c r="F9" s="5">
        <f t="shared" si="0"/>
        <v>-1235177.833333333</v>
      </c>
      <c r="G9" s="5">
        <f t="shared" si="0"/>
        <v>-530081.66666666605</v>
      </c>
      <c r="H9" s="5">
        <f t="shared" si="0"/>
        <v>175014.5</v>
      </c>
      <c r="I9" s="5">
        <f t="shared" si="0"/>
        <v>880110.66666666698</v>
      </c>
      <c r="J9" s="13">
        <f t="shared" si="0"/>
        <v>1585206.833333334</v>
      </c>
      <c r="K9" s="5">
        <f t="shared" si="0"/>
        <v>2290303.0000000009</v>
      </c>
      <c r="L9" s="5">
        <f t="shared" si="0"/>
        <v>2995399.1666666679</v>
      </c>
      <c r="O9" s="5"/>
      <c r="P9" s="10">
        <f>(C9/$F$2)</f>
        <v>-0.82614096893669697</v>
      </c>
      <c r="Q9" s="10">
        <f>(D9/$F$2)</f>
        <v>-0.65228193787339406</v>
      </c>
      <c r="R9" s="10">
        <f t="shared" ref="R9:Y9" si="1">(E9/$F$2)</f>
        <v>-0.47842290681009109</v>
      </c>
      <c r="S9" s="10">
        <f t="shared" si="1"/>
        <v>-0.304563875746788</v>
      </c>
      <c r="T9" s="10">
        <f t="shared" si="1"/>
        <v>-0.13070484468348498</v>
      </c>
      <c r="U9" s="16">
        <f t="shared" si="1"/>
        <v>4.3154186379817841E-2</v>
      </c>
      <c r="V9" s="10">
        <f t="shared" si="1"/>
        <v>0.21701321744312088</v>
      </c>
      <c r="W9" s="10">
        <f>(J9/$F$2)</f>
        <v>0.39087224850642394</v>
      </c>
      <c r="X9" s="10">
        <f t="shared" si="1"/>
        <v>0.56473127956972702</v>
      </c>
      <c r="Y9" s="10">
        <f t="shared" si="1"/>
        <v>0.73859031063303004</v>
      </c>
    </row>
    <row r="12" spans="2:25" x14ac:dyDescent="0.35">
      <c r="C12">
        <v>11</v>
      </c>
      <c r="D12">
        <v>12</v>
      </c>
      <c r="E12">
        <v>13</v>
      </c>
      <c r="F12">
        <v>14</v>
      </c>
      <c r="G12">
        <v>15</v>
      </c>
      <c r="H12">
        <v>16</v>
      </c>
      <c r="I12">
        <v>17</v>
      </c>
      <c r="J12">
        <v>18</v>
      </c>
      <c r="K12">
        <v>19</v>
      </c>
      <c r="L12">
        <v>20</v>
      </c>
      <c r="P12">
        <v>11</v>
      </c>
      <c r="Q12">
        <v>12</v>
      </c>
      <c r="R12">
        <v>13</v>
      </c>
      <c r="S12">
        <v>14</v>
      </c>
      <c r="T12">
        <v>15</v>
      </c>
      <c r="U12">
        <v>16</v>
      </c>
      <c r="V12">
        <v>17</v>
      </c>
      <c r="W12">
        <v>18</v>
      </c>
      <c r="X12">
        <v>19</v>
      </c>
      <c r="Y12" s="14">
        <v>20</v>
      </c>
    </row>
    <row r="13" spans="2:25" x14ac:dyDescent="0.35">
      <c r="C13" s="5">
        <f>$C$4*C12-$F$2</f>
        <v>3700495.333333334</v>
      </c>
      <c r="D13" s="5">
        <f t="shared" ref="D13:L13" si="2">$C$4*D12-$F$2</f>
        <v>4405591.5</v>
      </c>
      <c r="E13" s="5">
        <f t="shared" si="2"/>
        <v>5110687.6666666679</v>
      </c>
      <c r="F13" s="5">
        <f t="shared" si="2"/>
        <v>5815783.833333334</v>
      </c>
      <c r="G13" s="5">
        <f t="shared" si="2"/>
        <v>6520880.0000000019</v>
      </c>
      <c r="H13" s="5">
        <f t="shared" si="2"/>
        <v>7225976.1666666679</v>
      </c>
      <c r="I13" s="5">
        <f t="shared" si="2"/>
        <v>7931072.333333334</v>
      </c>
      <c r="J13" s="5">
        <f t="shared" si="2"/>
        <v>8636168.5000000019</v>
      </c>
      <c r="K13" s="5">
        <f t="shared" si="2"/>
        <v>9341264.6666666679</v>
      </c>
      <c r="L13" s="5">
        <f t="shared" si="2"/>
        <v>10046360.833333336</v>
      </c>
      <c r="P13" s="10">
        <f>C13/$F$2</f>
        <v>0.91244934169633285</v>
      </c>
      <c r="Q13" s="10">
        <f t="shared" ref="Q13:Y13" si="3">D13/$F$2</f>
        <v>1.0863083727596357</v>
      </c>
      <c r="R13" s="10">
        <f t="shared" si="3"/>
        <v>1.2601674038229389</v>
      </c>
      <c r="S13" s="10">
        <f t="shared" si="3"/>
        <v>1.4340264348862417</v>
      </c>
      <c r="T13" s="10">
        <f t="shared" si="3"/>
        <v>1.607885465949545</v>
      </c>
      <c r="U13" s="10">
        <f t="shared" si="3"/>
        <v>1.781744497012848</v>
      </c>
      <c r="V13" s="10">
        <f t="shared" si="3"/>
        <v>1.9556035280761508</v>
      </c>
      <c r="W13" s="10">
        <f t="shared" si="3"/>
        <v>2.129462559139454</v>
      </c>
      <c r="X13" s="10">
        <f t="shared" si="3"/>
        <v>2.3033215902027568</v>
      </c>
      <c r="Y13" s="16">
        <f t="shared" si="3"/>
        <v>2.4771806212660601</v>
      </c>
    </row>
    <row r="16" spans="2:25" x14ac:dyDescent="0.35">
      <c r="C16" s="19" t="s">
        <v>52</v>
      </c>
      <c r="D16" s="19"/>
      <c r="E16" s="19"/>
      <c r="F16" s="19"/>
      <c r="G16" s="19"/>
      <c r="H16" s="19"/>
      <c r="I16" s="19"/>
      <c r="J16" s="19"/>
      <c r="K16" s="19"/>
      <c r="L16" s="19"/>
      <c r="P16" s="19" t="s">
        <v>52</v>
      </c>
      <c r="Q16" s="19"/>
      <c r="R16" s="19"/>
      <c r="S16" s="19"/>
      <c r="T16" s="19"/>
      <c r="U16" s="19"/>
      <c r="V16" s="19"/>
      <c r="W16" s="19"/>
      <c r="X16" s="19"/>
      <c r="Y16" s="19"/>
    </row>
    <row r="17" spans="2:25" x14ac:dyDescent="0.35"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  <c r="H17" s="14">
        <v>6</v>
      </c>
      <c r="I17">
        <v>7</v>
      </c>
      <c r="J17">
        <v>8</v>
      </c>
      <c r="K17">
        <v>9</v>
      </c>
      <c r="L17">
        <v>10</v>
      </c>
      <c r="P17">
        <v>1</v>
      </c>
      <c r="Q17">
        <v>2</v>
      </c>
      <c r="R17">
        <v>3</v>
      </c>
      <c r="S17">
        <v>4</v>
      </c>
      <c r="T17" s="14">
        <v>5</v>
      </c>
      <c r="U17">
        <v>6</v>
      </c>
      <c r="V17">
        <v>7</v>
      </c>
      <c r="W17">
        <v>8</v>
      </c>
      <c r="X17">
        <v>9</v>
      </c>
      <c r="Y17">
        <v>10</v>
      </c>
    </row>
    <row r="18" spans="2:25" x14ac:dyDescent="0.35">
      <c r="B18" s="5">
        <f>-F3</f>
        <v>-2904237.5</v>
      </c>
      <c r="C18" s="5">
        <f t="shared" ref="C18:L18" si="4">$C$5/((1+$C$3)^C17)+B18</f>
        <v>-2133808</v>
      </c>
      <c r="D18" s="5">
        <f t="shared" si="4"/>
        <v>-1363378.5</v>
      </c>
      <c r="E18" s="5">
        <f t="shared" si="4"/>
        <v>-592949</v>
      </c>
      <c r="F18" s="5">
        <f t="shared" si="4"/>
        <v>177480.5</v>
      </c>
      <c r="G18" s="5">
        <f t="shared" si="4"/>
        <v>947910</v>
      </c>
      <c r="H18" s="13">
        <f t="shared" si="4"/>
        <v>1718339.5</v>
      </c>
      <c r="I18" s="5">
        <f t="shared" si="4"/>
        <v>2488769</v>
      </c>
      <c r="J18" s="5">
        <f t="shared" si="4"/>
        <v>3259198.5</v>
      </c>
      <c r="K18" s="5">
        <f t="shared" si="4"/>
        <v>4029628</v>
      </c>
      <c r="L18" s="5">
        <f t="shared" si="4"/>
        <v>4800057.5</v>
      </c>
      <c r="O18" s="5"/>
      <c r="P18" s="10">
        <f>C18/$F$3</f>
        <v>-0.73472228080520274</v>
      </c>
      <c r="Q18" s="10">
        <f t="shared" ref="Q18:Y18" si="5">D18/$F$3</f>
        <v>-0.46944456161040549</v>
      </c>
      <c r="R18" s="10">
        <f t="shared" si="5"/>
        <v>-0.20416684241560823</v>
      </c>
      <c r="S18" s="10">
        <f t="shared" si="5"/>
        <v>6.1110876779189027E-2</v>
      </c>
      <c r="T18" s="16">
        <f t="shared" si="5"/>
        <v>0.32638859597398628</v>
      </c>
      <c r="U18" s="10">
        <f t="shared" si="5"/>
        <v>0.59166631516878354</v>
      </c>
      <c r="V18" s="10">
        <f t="shared" si="5"/>
        <v>0.8569440343635808</v>
      </c>
      <c r="W18" s="10">
        <f t="shared" si="5"/>
        <v>1.1222217535583781</v>
      </c>
      <c r="X18" s="10">
        <f t="shared" si="5"/>
        <v>1.3874994727531753</v>
      </c>
      <c r="Y18" s="10">
        <f t="shared" si="5"/>
        <v>1.6527771919479726</v>
      </c>
    </row>
    <row r="21" spans="2:25" x14ac:dyDescent="0.35">
      <c r="C21">
        <v>11</v>
      </c>
      <c r="D21">
        <v>12</v>
      </c>
      <c r="E21">
        <v>13</v>
      </c>
      <c r="F21">
        <v>14</v>
      </c>
      <c r="G21">
        <v>15</v>
      </c>
      <c r="H21">
        <v>16</v>
      </c>
      <c r="I21">
        <v>17</v>
      </c>
      <c r="J21">
        <v>18</v>
      </c>
      <c r="K21">
        <v>19</v>
      </c>
      <c r="L21">
        <v>20</v>
      </c>
      <c r="P21">
        <v>11</v>
      </c>
      <c r="Q21">
        <v>12</v>
      </c>
      <c r="R21">
        <v>13</v>
      </c>
      <c r="S21">
        <v>14</v>
      </c>
      <c r="T21">
        <v>15</v>
      </c>
      <c r="U21">
        <v>16</v>
      </c>
      <c r="V21">
        <v>17</v>
      </c>
      <c r="W21">
        <v>18</v>
      </c>
      <c r="X21">
        <v>19</v>
      </c>
      <c r="Y21" s="14">
        <v>20</v>
      </c>
    </row>
    <row r="22" spans="2:25" x14ac:dyDescent="0.35">
      <c r="C22" s="5">
        <f>$C$5/((1+$C$3)^C21)+L18</f>
        <v>5570487</v>
      </c>
      <c r="D22" s="5">
        <f t="shared" ref="D22:L22" si="6">$C$5/((1+$C$3)^D21)+C22</f>
        <v>6340916.5</v>
      </c>
      <c r="E22" s="5">
        <f t="shared" si="6"/>
        <v>7111346</v>
      </c>
      <c r="F22" s="5">
        <f t="shared" si="6"/>
        <v>7881775.5</v>
      </c>
      <c r="G22" s="5">
        <f t="shared" si="6"/>
        <v>8652205</v>
      </c>
      <c r="H22" s="5">
        <f t="shared" si="6"/>
        <v>9422634.5</v>
      </c>
      <c r="I22" s="5">
        <f t="shared" si="6"/>
        <v>10193064</v>
      </c>
      <c r="J22" s="5">
        <f t="shared" si="6"/>
        <v>10963493.5</v>
      </c>
      <c r="K22" s="5">
        <f t="shared" si="6"/>
        <v>11733923</v>
      </c>
      <c r="L22" s="5">
        <f t="shared" si="6"/>
        <v>12504352.5</v>
      </c>
      <c r="P22" s="10">
        <f>C22/$F$3</f>
        <v>1.9180549111427698</v>
      </c>
      <c r="Q22" s="10">
        <f t="shared" ref="Q22:Y22" si="7">D22/$F$3</f>
        <v>2.1833326303375671</v>
      </c>
      <c r="R22" s="10">
        <f t="shared" si="7"/>
        <v>2.4486103495323643</v>
      </c>
      <c r="S22" s="10">
        <f t="shared" si="7"/>
        <v>2.7138880687271616</v>
      </c>
      <c r="T22" s="10">
        <f t="shared" si="7"/>
        <v>2.9791657879219589</v>
      </c>
      <c r="U22" s="10">
        <f t="shared" si="7"/>
        <v>3.2444435071167561</v>
      </c>
      <c r="V22" s="10">
        <f t="shared" si="7"/>
        <v>3.5097212263115534</v>
      </c>
      <c r="W22" s="10">
        <f t="shared" si="7"/>
        <v>3.7749989455063506</v>
      </c>
      <c r="X22" s="10">
        <f t="shared" si="7"/>
        <v>4.0402766647011479</v>
      </c>
      <c r="Y22" s="16">
        <f t="shared" si="7"/>
        <v>4.3055543838959451</v>
      </c>
    </row>
    <row r="26" spans="2:25" x14ac:dyDescent="0.35">
      <c r="C26" s="19" t="s">
        <v>53</v>
      </c>
      <c r="D26" s="19"/>
      <c r="E26" s="19"/>
      <c r="F26" s="19"/>
      <c r="G26" s="19"/>
      <c r="H26" s="19"/>
      <c r="I26" s="19"/>
      <c r="J26" s="19"/>
      <c r="K26" s="19"/>
      <c r="L26" s="19"/>
      <c r="P26" s="19" t="s">
        <v>53</v>
      </c>
      <c r="Q26" s="19"/>
      <c r="R26" s="19"/>
      <c r="S26" s="19"/>
      <c r="T26" s="19"/>
      <c r="U26" s="19"/>
      <c r="V26" s="19"/>
      <c r="W26" s="19"/>
      <c r="X26" s="19"/>
      <c r="Y26" s="19"/>
    </row>
    <row r="27" spans="2:25" x14ac:dyDescent="0.35">
      <c r="B27">
        <v>0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 s="14">
        <v>7</v>
      </c>
      <c r="J27">
        <v>8</v>
      </c>
      <c r="K27">
        <v>9</v>
      </c>
      <c r="L27">
        <v>10</v>
      </c>
      <c r="P27">
        <v>1</v>
      </c>
      <c r="Q27">
        <v>2</v>
      </c>
      <c r="R27">
        <v>3</v>
      </c>
      <c r="S27">
        <v>4</v>
      </c>
      <c r="T27">
        <v>5</v>
      </c>
      <c r="U27">
        <v>6</v>
      </c>
      <c r="V27" s="14">
        <v>7</v>
      </c>
      <c r="W27">
        <v>8</v>
      </c>
      <c r="X27">
        <v>9</v>
      </c>
      <c r="Y27">
        <v>10</v>
      </c>
    </row>
    <row r="28" spans="2:25" x14ac:dyDescent="0.35">
      <c r="B28" s="5">
        <f>-F4</f>
        <v>-4236337.5</v>
      </c>
      <c r="C28" s="5">
        <f t="shared" ref="C28:L28" si="8">$C$6/((1+$C$3)^C27)+B28</f>
        <v>-3381908</v>
      </c>
      <c r="D28" s="5">
        <f t="shared" si="8"/>
        <v>-2527478.5</v>
      </c>
      <c r="E28" s="5">
        <f t="shared" si="8"/>
        <v>-1673049</v>
      </c>
      <c r="F28" s="5">
        <f t="shared" si="8"/>
        <v>-818619.5</v>
      </c>
      <c r="G28" s="5">
        <f t="shared" si="8"/>
        <v>35810</v>
      </c>
      <c r="H28" s="5">
        <f t="shared" si="8"/>
        <v>890239.5</v>
      </c>
      <c r="I28" s="13">
        <f t="shared" si="8"/>
        <v>1744669</v>
      </c>
      <c r="J28" s="5">
        <f t="shared" si="8"/>
        <v>2599098.5</v>
      </c>
      <c r="K28" s="5">
        <f t="shared" si="8"/>
        <v>3453528</v>
      </c>
      <c r="L28" s="5">
        <f t="shared" si="8"/>
        <v>4307957.5</v>
      </c>
      <c r="O28" s="5"/>
      <c r="P28" s="10">
        <f>C28/$F$4</f>
        <v>-0.79830938871135737</v>
      </c>
      <c r="Q28" s="10">
        <f t="shared" ref="Q28:Y28" si="9">D28/$F$4</f>
        <v>-0.59661877742271474</v>
      </c>
      <c r="R28" s="10">
        <f t="shared" si="9"/>
        <v>-0.39492816613407217</v>
      </c>
      <c r="S28" s="10">
        <f t="shared" si="9"/>
        <v>-0.19323755484542957</v>
      </c>
      <c r="T28" s="10">
        <f t="shared" si="9"/>
        <v>8.4530564432130344E-3</v>
      </c>
      <c r="U28" s="10">
        <f t="shared" si="9"/>
        <v>0.21014366773185564</v>
      </c>
      <c r="V28" s="16">
        <f t="shared" si="9"/>
        <v>0.41183427902049824</v>
      </c>
      <c r="W28" s="10">
        <f t="shared" si="9"/>
        <v>0.61352489030914081</v>
      </c>
      <c r="X28" s="10">
        <f t="shared" si="9"/>
        <v>0.81521550159778344</v>
      </c>
      <c r="Y28" s="10">
        <f t="shared" si="9"/>
        <v>1.0169061128864261</v>
      </c>
    </row>
    <row r="31" spans="2:25" x14ac:dyDescent="0.35">
      <c r="C31">
        <v>11</v>
      </c>
      <c r="D31">
        <v>12</v>
      </c>
      <c r="E31">
        <v>13</v>
      </c>
      <c r="F31">
        <v>14</v>
      </c>
      <c r="G31">
        <v>15</v>
      </c>
      <c r="H31">
        <v>16</v>
      </c>
      <c r="I31">
        <v>17</v>
      </c>
      <c r="J31">
        <v>18</v>
      </c>
      <c r="K31">
        <v>19</v>
      </c>
      <c r="L31">
        <v>20</v>
      </c>
      <c r="P31">
        <v>11</v>
      </c>
      <c r="Q31">
        <v>12</v>
      </c>
      <c r="R31">
        <v>13</v>
      </c>
      <c r="S31">
        <v>14</v>
      </c>
      <c r="T31">
        <v>15</v>
      </c>
      <c r="U31">
        <v>16</v>
      </c>
      <c r="V31">
        <v>17</v>
      </c>
      <c r="W31">
        <v>18</v>
      </c>
      <c r="X31">
        <v>19</v>
      </c>
      <c r="Y31" s="14">
        <v>20</v>
      </c>
    </row>
    <row r="32" spans="2:25" x14ac:dyDescent="0.35">
      <c r="C32" s="5">
        <f>$C$6/((1+$C$3)^C31)+L28</f>
        <v>5162387</v>
      </c>
      <c r="D32" s="5">
        <f t="shared" ref="D32:L32" si="10">$C$6/((1+$C$3)^D31)+C32</f>
        <v>6016816.5</v>
      </c>
      <c r="E32" s="5">
        <f t="shared" si="10"/>
        <v>6871246</v>
      </c>
      <c r="F32" s="5">
        <f t="shared" si="10"/>
        <v>7725675.5</v>
      </c>
      <c r="G32" s="5">
        <f t="shared" si="10"/>
        <v>8580105</v>
      </c>
      <c r="H32" s="5">
        <f t="shared" si="10"/>
        <v>9434534.5</v>
      </c>
      <c r="I32" s="5">
        <f t="shared" si="10"/>
        <v>10288964</v>
      </c>
      <c r="J32" s="5">
        <f t="shared" si="10"/>
        <v>11143393.5</v>
      </c>
      <c r="K32" s="5">
        <f t="shared" si="10"/>
        <v>11997823</v>
      </c>
      <c r="L32" s="5">
        <f t="shared" si="10"/>
        <v>12852252.5</v>
      </c>
      <c r="P32" s="10">
        <f>C32/$F$4</f>
        <v>1.2185967241750686</v>
      </c>
      <c r="Q32" s="10">
        <f t="shared" ref="Q32:Y32" si="11">D32/$F$4</f>
        <v>1.4202873354637113</v>
      </c>
      <c r="R32" s="10">
        <f t="shared" si="11"/>
        <v>1.6219779467523538</v>
      </c>
      <c r="S32" s="10">
        <f t="shared" si="11"/>
        <v>1.8236685580409966</v>
      </c>
      <c r="T32" s="10">
        <f t="shared" si="11"/>
        <v>2.0253591693296391</v>
      </c>
      <c r="U32" s="10">
        <f t="shared" si="11"/>
        <v>2.2270497806182816</v>
      </c>
      <c r="V32" s="10">
        <f t="shared" si="11"/>
        <v>2.4287403919069241</v>
      </c>
      <c r="W32" s="10">
        <f t="shared" si="11"/>
        <v>2.6304310031955671</v>
      </c>
      <c r="X32" s="10">
        <f t="shared" si="11"/>
        <v>2.8321216144842096</v>
      </c>
      <c r="Y32" s="16">
        <f t="shared" si="11"/>
        <v>3.0338122257728521</v>
      </c>
    </row>
  </sheetData>
  <mergeCells count="6">
    <mergeCell ref="C7:L7"/>
    <mergeCell ref="C16:L16"/>
    <mergeCell ref="C26:L26"/>
    <mergeCell ref="P7:Y7"/>
    <mergeCell ref="P16:Y16"/>
    <mergeCell ref="P26:Y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Costs 15%</vt:lpstr>
      <vt:lpstr>CAPEX 15%</vt:lpstr>
      <vt:lpstr>OPEX 15%</vt:lpstr>
      <vt:lpstr>VAN 15%</vt:lpstr>
      <vt:lpstr>TIR 15%</vt:lpstr>
      <vt:lpstr>ROI 15%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2026-01-08T12:13:09Z</dcterms:created>
  <dcterms:modified xsi:type="dcterms:W3CDTF">2026-01-13T20:54:48Z</dcterms:modified>
</cp:coreProperties>
</file>