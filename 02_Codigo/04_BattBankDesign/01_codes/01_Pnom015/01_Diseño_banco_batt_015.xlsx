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5FBA5857-8796-41B8-A8F9-DA96A2E0BEFB}" xr6:coauthVersionLast="47" xr6:coauthVersionMax="47" xr10:uidLastSave="{00000000-0000-0000-0000-000000000000}"/>
  <bookViews>
    <workbookView xWindow="-110" yWindow="-110" windowWidth="19420" windowHeight="10420" activeTab="6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LFP" sheetId="4" r:id="rId5"/>
    <sheet name="NMC" sheetId="5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H12" i="9" l="1"/>
  <c r="G12" i="9"/>
  <c r="H11" i="9"/>
  <c r="G11" i="9"/>
  <c r="G5" i="9"/>
  <c r="G9" i="8"/>
  <c r="H23" i="8"/>
  <c r="G23" i="8"/>
  <c r="H21" i="8"/>
  <c r="G21" i="8"/>
  <c r="L22" i="4"/>
  <c r="Q30" i="4"/>
  <c r="P30" i="4"/>
  <c r="P29" i="4"/>
  <c r="AI19" i="7"/>
  <c r="AH19" i="7"/>
  <c r="AI18" i="7"/>
  <c r="AH18" i="7"/>
  <c r="AI17" i="7"/>
  <c r="AH17" i="7"/>
  <c r="AI16" i="7"/>
  <c r="AH16" i="7"/>
  <c r="AI15" i="7"/>
  <c r="AH15" i="7"/>
  <c r="AJ5" i="7"/>
  <c r="AJ6" i="7"/>
  <c r="AJ7" i="7"/>
  <c r="AJ8" i="7"/>
  <c r="AJ9" i="7"/>
  <c r="AC19" i="7"/>
  <c r="AD19" i="7"/>
  <c r="AB19" i="7"/>
  <c r="AC18" i="7"/>
  <c r="AD18" i="7"/>
  <c r="AB18" i="7"/>
  <c r="AC17" i="7"/>
  <c r="AD17" i="7"/>
  <c r="AB17" i="7"/>
  <c r="AC16" i="7"/>
  <c r="AD16" i="7"/>
  <c r="AB16" i="7"/>
  <c r="AC15" i="7"/>
  <c r="AD15" i="7"/>
  <c r="AB15" i="7"/>
  <c r="AE6" i="7"/>
  <c r="AE7" i="7"/>
  <c r="AE8" i="7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M9" i="7"/>
  <c r="L9" i="7"/>
  <c r="M8" i="7"/>
  <c r="L8" i="7"/>
  <c r="M7" i="7"/>
  <c r="L7" i="7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M18" i="7"/>
  <c r="L17" i="7"/>
  <c r="M17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L29" i="4" l="1"/>
  <c r="N6" i="7" s="1"/>
  <c r="L49" i="4"/>
  <c r="L50" i="4" s="1"/>
  <c r="N9" i="7" s="1"/>
  <c r="G29" i="5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D43" i="5"/>
  <c r="D44" i="5" s="1"/>
  <c r="D46" i="5"/>
  <c r="D47" i="5" s="1"/>
  <c r="L6" i="6"/>
  <c r="L49" i="6"/>
  <c r="L43" i="6"/>
  <c r="L43" i="4"/>
  <c r="L44" i="4" s="1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N19" i="7" l="1"/>
  <c r="O9" i="7"/>
  <c r="O19" i="7" s="1"/>
  <c r="N16" i="7"/>
  <c r="O6" i="7"/>
  <c r="O16" i="7" s="1"/>
  <c r="L50" i="6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N8" i="7" s="1"/>
  <c r="L32" i="4"/>
  <c r="N7" i="7" s="1"/>
  <c r="E50" i="3"/>
  <c r="E48" i="3"/>
  <c r="C22" i="3"/>
  <c r="C20" i="3"/>
  <c r="H24" i="6"/>
  <c r="H9" i="6"/>
  <c r="D46" i="4"/>
  <c r="D47" i="4" s="1"/>
  <c r="D28" i="4"/>
  <c r="D34" i="5"/>
  <c r="D32" i="5"/>
  <c r="N17" i="7" l="1"/>
  <c r="O7" i="7"/>
  <c r="O17" i="7" s="1"/>
  <c r="O8" i="7"/>
  <c r="O18" i="7" s="1"/>
  <c r="N18" i="7"/>
  <c r="M44" i="6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<sst xmlns="http://schemas.openxmlformats.org/spreadsheetml/2006/main" count="648" uniqueCount="181">
  <si>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</si>
  <si>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</si>
  <si>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</si>
  <si>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</si>
  <si>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</si>
  <si>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</si>
  <si>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</si>
  <si>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</si>
  <si>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</si>
  <si>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</si>
  <si>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</si>
  <si>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</si>
  <si>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</si>
  <si>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</si>
  <si>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</si>
  <si>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</si>
  <si>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</si>
  <si>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</si>
  <si>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</si>
  <si>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</si>
  <si>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</si>
  <si>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</si>
  <si>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</si>
  <si>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</si>
  <si>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</si>
  <si>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</si>
  <si>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</si>
  <si>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</si>
  <si>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</si>
  <si>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</si>
  <si>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</si>
  <si>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</si>
  <si>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</si>
  <si>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</si>
  <si>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</si>
  <si>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</si>
  <si>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</si>
  <si>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</si>
  <si>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</si>
  <si>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</si>
  <si>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</si>
  <si>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</si>
  <si>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</si>
  <si>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</si>
  <si>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</si>
  <si>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</si>
  <si>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</si>
  <si>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</si>
  <si>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</si>
  <si>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</si>
  <si>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</si>
  <si>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</si>
  <si>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</si>
  <si>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</si>
  <si>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</si>
  <si>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</si>
  <si>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</si>
  <si>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</si>
  <si>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</si>
  <si>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</si>
  <si>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</si>
  <si>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</si>
  <si>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</si>
  <si>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</si>
  <si>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</si>
  <si>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</si>
  <si>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</si>
  <si>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</si>
  <si>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</si>
  <si>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</si>
  <si>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</si>
  <si>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</si>
  <si>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</si>
  <si>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</si>
  <si>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</si>
  <si>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</si>
  <si>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</si>
  <si>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</si>
  <si>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</si>
  <si>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</si>
  <si>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</si>
  <si>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</si>
  <si>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</si>
  <si>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</si>
  <si>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</si>
  <si>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</si>
  <si>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</si>
  <si>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</si>
  <si>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</si>
  <si>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</si>
  <si>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</si>
  <si>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</si>
  <si>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</si>
  <si>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</si>
  <si>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</si>
  <si>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</si>
  <si>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</si>
  <si>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</si>
  <si>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</si>
  <si>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</si>
  <si>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</si>
  <si>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</si>
  <si>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</si>
  <si>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</si>
  <si>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</si>
  <si>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</si>
  <si>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</si>
  <si>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</si>
  <si>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</si>
  <si>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</si>
  <si>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</si>
  <si>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</si>
  <si>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</si>
  <si>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</si>
  <si>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</si>
  <si>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</si>
  <si>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</si>
  <si>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</si>
  <si>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</si>
  <si>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</si>
  <si>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</si>
  <si>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</si>
  <si>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</si>
  <si>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</si>
  <si>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</si>
  <si>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</si>
  <si>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</si>
  <si>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</si>
  <si>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</si>
  <si>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</si>
  <si>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</si>
  <si>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</si>
  <si>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</si>
  <si>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</si>
  <si>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</si>
  <si>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</si>
  <si>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</si>
  <si>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</si>
  <si>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</si>
  <si>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</si>
  <si>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</si>
  <si>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</si>
  <si>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</si>
  <si>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</si>
  <si>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</si>
  <si>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</si>
  <si>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</si>
  <si>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</si>
  <si>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</si>
  <si>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</si>
  <si>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</si>
  <si>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</si>
  <si>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</si>
  <si>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</si>
  <si>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</si>
  <si>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</si>
  <si>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</si>
  <si>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</si>
  <si>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</si>
  <si>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</si>
  <si>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</si>
  <si>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</si>
  <si>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</si>
  <si>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</si>
  <si>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</si>
  <si>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</si>
  <si>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</si>
  <si>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</si>
  <si>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</si>
  <si>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</si>
  <si>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</si>
  <si>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</si>
  <si>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</si>
  <si>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</si>
  <si>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</si>
  <si>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</si>
  <si>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</si>
  <si>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</si>
  <si>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</si>
  <si>
    <t>Life cycles [-]</t>
  </si>
  <si>
    <t>Cells [-]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</si>
</sst>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"/>
    <numFmt numFmtId="168" formatCode="0.000000"/>
    <numFmt numFmtId="169" formatCode="0.E+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0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169" fontId="7" fillId="0" borderId="0" xfId="0" applyNumberFormat="1" applyFont="1"/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4" workbookViewId="0">
      <selection activeCell="G9" sqref="G9"/>
    </sheetView>
  </sheetViews>
  <sheetFormatPr baseColWidth="10" defaultRowHeight="14.5"/>
  <cols>
    <col min="1" max="1" width="14.453125" bestFit="1" customWidth="1"/>
    <col min="5" max="5" width="12.54296875" bestFit="1" customWidth="1"/>
    <col min="6" max="6" width="16.1796875" bestFit="1" customWidth="1"/>
    <col min="8" max="9" width="12.54296875" bestFit="1" customWidth="1"/>
    <col min="10" max="10" width="12" bestFit="1" customWidth="1"/>
    <col min="11" max="11" width="12.1796875" bestFit="1" customWidth="1"/>
    <col min="12" max="12" width="18.7265625" bestFit="1" customWidth="1"/>
    <col min="13" max="13" width="8.26953125" bestFit="1" customWidth="1"/>
    <col min="14" max="15" width="12" bestFit="1" customWidth="1"/>
  </cols>
  <sheetData>
    <row r="5" spans="1:13" ht="18.5">
      <c r="C5" s="100" t="s">
        <v>151</v>
      </c>
      <c r="D5" s="100"/>
      <c r="E5" s="100"/>
      <c r="F5" s="100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G9">
        <f>(E9*1000)/780</f>
        <v>233.97435897435898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G21">
        <f>(E21*1000)/780</f>
        <v>701.92307692307691</v>
      </c>
      <c r="H21" s="42">
        <f>G21-G9</f>
        <v>467.9487179487179</v>
      </c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G23">
        <f>(E23*1000)/780</f>
        <v>467.94871794871796</v>
      </c>
      <c r="H23" s="42">
        <f>G23-G21</f>
        <v>-233.97435897435895</v>
      </c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9" workbookViewId="0">
      <selection activeCell="F4" sqref="F4:F5"/>
    </sheetView>
  </sheetViews>
  <sheetFormatPr baseColWidth="10" defaultRowHeight="14.5"/>
  <cols>
    <col min="1" max="1" width="15.453125" bestFit="1" customWidth="1"/>
    <col min="6" max="6" width="16.1796875" bestFit="1" customWidth="1"/>
    <col min="14" max="14" width="12.54296875" bestFit="1" customWidth="1"/>
    <col min="15" max="16" width="12" bestFit="1" customWidth="1"/>
    <col min="18" max="18" width="13.7265625" bestFit="1" customWidth="1"/>
    <col min="19" max="19" width="12.54296875" bestFit="1" customWidth="1"/>
    <col min="20" max="20" width="12" bestFit="1" customWidth="1"/>
    <col min="21" max="21" width="12.1796875" bestFit="1" customWidth="1"/>
  </cols>
  <sheetData>
    <row r="2" spans="1:21" ht="18.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>
        <f>(E5*1000)/780</f>
        <v>467.94871794871796</v>
      </c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>
        <f>(E11*1000)/780</f>
        <v>701.92307692307691</v>
      </c>
      <c r="H11" s="42">
        <f>G11-G5</f>
        <v>233.97435897435895</v>
      </c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>
        <f>(E12*1000)/780</f>
        <v>233.97435897435898</v>
      </c>
      <c r="H12" s="42">
        <f>G12-G11</f>
        <v>-467.9487179487179</v>
      </c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4.5"/>
  <cols>
    <col min="4" max="4" width="50.8164062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</v>
      </c>
    </row>
    <row r="10" spans="3:8">
      <c r="C10" s="51" t="s">
        <v>161</v>
      </c>
      <c r="D10" s="51" t="s">
        <v>165</v>
      </c>
      <c r="E10" s="51">
        <f>(E4*E8*E9)/(E7*E6*E5)</f>
        <v>2738.958185369318</v>
      </c>
    </row>
    <row r="11" spans="3:8">
      <c r="C11" s="80" t="s">
        <v>170</v>
      </c>
      <c r="E11" s="78">
        <f>(E8*E9)/(E5*E6*E7)</f>
        <v>1.8643465909090906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2740.5894886363631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workbookViewId="0">
      <selection activeCell="D7" sqref="D7"/>
    </sheetView>
  </sheetViews>
  <sheetFormatPr baseColWidth="10" defaultColWidth="12.54296875" defaultRowHeight="15" customHeight="1"/>
  <cols>
    <col min="1" max="1" width="11.453125" customWidth="1"/>
    <col min="2" max="2" width="58.54296875" customWidth="1"/>
    <col min="3" max="3" width="36.7265625" customWidth="1"/>
    <col min="4" max="4" width="41.1796875" customWidth="1"/>
    <col min="5" max="5" width="7" customWidth="1"/>
    <col min="6" max="6" width="58.54296875" customWidth="1"/>
    <col min="7" max="7" width="36.7265625" customWidth="1"/>
    <col min="8" max="11" width="11.453125" customWidth="1"/>
    <col min="12" max="12" width="16.1796875" customWidth="1"/>
    <col min="13" max="26" width="11.453125" customWidth="1"/>
  </cols>
  <sheetData>
    <row r="1" spans="2:13" ht="14.5">
      <c r="B1" s="103" t="s">
        <v>11</v>
      </c>
      <c r="C1" s="104"/>
      <c r="D1" s="104"/>
      <c r="E1" s="104"/>
      <c r="F1" s="104"/>
      <c r="G1" s="105"/>
    </row>
    <row r="2" spans="2:13" ht="14.5">
      <c r="B2" s="1" t="s">
        <v>0</v>
      </c>
      <c r="C2" s="2" t="s">
        <v>12</v>
      </c>
      <c r="G2" s="2"/>
    </row>
    <row r="3" spans="2:13" ht="14.5">
      <c r="B3" s="106" t="s">
        <v>13</v>
      </c>
      <c r="C3" s="102"/>
      <c r="F3" s="106" t="s">
        <v>14</v>
      </c>
      <c r="G3" s="102"/>
    </row>
    <row r="4" spans="2:13" ht="14.5">
      <c r="B4" s="101" t="s">
        <v>1</v>
      </c>
      <c r="C4" s="102"/>
      <c r="F4" s="101" t="s">
        <v>1</v>
      </c>
      <c r="G4" s="102"/>
    </row>
    <row r="5" spans="2:13" ht="14.5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 ht="14.5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 ht="14.5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 ht="14.5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 ht="14.5">
      <c r="B9" s="101" t="s">
        <v>4</v>
      </c>
      <c r="C9" s="102"/>
      <c r="F9" s="101" t="s">
        <v>4</v>
      </c>
      <c r="G9" s="102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 ht="14.5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 ht="14.5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 ht="14.5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 ht="14.5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 ht="14.5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 ht="14.5">
      <c r="B15" s="101" t="s">
        <v>7</v>
      </c>
      <c r="C15" s="102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 ht="14.5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 ht="14.5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 ht="14.5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 ht="14.5">
      <c r="B19" s="1" t="s">
        <v>21</v>
      </c>
      <c r="C19" s="1">
        <v>10</v>
      </c>
    </row>
    <row r="20" spans="2:13" ht="14.5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101" t="s">
        <v>26</v>
      </c>
      <c r="C24" s="102"/>
      <c r="F24" s="101" t="s">
        <v>26</v>
      </c>
      <c r="G24" s="102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103" t="s">
        <v>33</v>
      </c>
      <c r="C35" s="104"/>
      <c r="D35" s="104"/>
      <c r="E35" s="104"/>
      <c r="F35" s="104"/>
      <c r="G35" s="105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103" t="s">
        <v>48</v>
      </c>
      <c r="C51" s="105"/>
      <c r="F51" s="103" t="s">
        <v>49</v>
      </c>
      <c r="G51" s="105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15:C15"/>
    <mergeCell ref="B24:C24"/>
    <mergeCell ref="F24:G24"/>
    <mergeCell ref="B35:G35"/>
    <mergeCell ref="B51:C51"/>
    <mergeCell ref="F51:G51"/>
    <mergeCell ref="B9:C9"/>
    <mergeCell ref="F9:G9"/>
    <mergeCell ref="B1:G1"/>
    <mergeCell ref="B3:C3"/>
    <mergeCell ref="F3:G3"/>
    <mergeCell ref="B4:C4"/>
    <mergeCell ref="F4:G4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G1" workbookViewId="0">
      <selection activeCell="M13" sqref="M1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3.453125" customWidth="1"/>
    <col min="9" max="10" width="11.453125" customWidth="1"/>
    <col min="11" max="11" width="59" customWidth="1"/>
    <col min="12" max="12" width="13.453125" customWidth="1"/>
    <col min="13" max="14" width="11.453125" customWidth="1"/>
    <col min="15" max="15" width="26.54296875" customWidth="1"/>
    <col min="16" max="17" width="11.81640625" customWidth="1"/>
    <col min="18" max="18" width="16.7265625" customWidth="1"/>
    <col min="19" max="19" width="11.453125" customWidth="1"/>
    <col min="20" max="20" width="22.54296875" customWidth="1"/>
    <col min="21" max="23" width="11.453125" customWidth="1"/>
    <col min="24" max="24" width="14.1796875" customWidth="1"/>
    <col min="25" max="33" width="11.453125" customWidth="1"/>
  </cols>
  <sheetData>
    <row r="2" spans="3:24" ht="14.5">
      <c r="T2" s="16"/>
      <c r="U2" s="17"/>
      <c r="V2" s="17"/>
      <c r="W2" s="17"/>
      <c r="X2" s="18"/>
    </row>
    <row r="3" spans="3:24" ht="14.5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 ht="14.5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 ht="14.5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 ht="14.5">
      <c r="O6" s="16"/>
      <c r="P6" s="21"/>
      <c r="Q6" s="21"/>
      <c r="R6" s="21"/>
      <c r="T6" s="16"/>
      <c r="U6" s="24"/>
      <c r="V6" s="24"/>
      <c r="W6" s="24"/>
      <c r="X6" s="19"/>
    </row>
    <row r="7" spans="3:24" ht="14.5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 ht="14.5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 ht="14.5">
      <c r="C9" s="1" t="s">
        <v>81</v>
      </c>
      <c r="D9" s="1">
        <v>1.1000000000000001</v>
      </c>
    </row>
    <row r="10" spans="3:24" ht="14.5">
      <c r="C10" s="1" t="s">
        <v>82</v>
      </c>
      <c r="D10" s="1">
        <f>D7*D8</f>
        <v>87.3</v>
      </c>
    </row>
    <row r="11" spans="3:24" ht="14.5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7" t="s">
        <v>85</v>
      </c>
      <c r="P11" s="102"/>
    </row>
    <row r="12" spans="3:24" ht="14.5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 ht="14.5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 ht="14.5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 ht="14.5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 ht="14.5">
      <c r="O16" s="16" t="s">
        <v>95</v>
      </c>
      <c r="P16" s="25">
        <v>33.963000000000001</v>
      </c>
    </row>
    <row r="17" spans="3:17" ht="14.5">
      <c r="O17" s="17" t="s">
        <v>96</v>
      </c>
      <c r="P17" s="11">
        <v>33963</v>
      </c>
    </row>
    <row r="18" spans="3:17" ht="14.5">
      <c r="O18" s="17" t="s">
        <v>97</v>
      </c>
      <c r="P18" s="11">
        <v>13750</v>
      </c>
    </row>
    <row r="19" spans="3:17" ht="14.5">
      <c r="C19" s="1" t="s">
        <v>66</v>
      </c>
      <c r="G19" s="1" t="s">
        <v>66</v>
      </c>
      <c r="K19" s="1" t="s">
        <v>66</v>
      </c>
    </row>
    <row r="20" spans="3:17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6" t="s">
        <v>98</v>
      </c>
      <c r="P20" s="102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8" t="s">
        <v>102</v>
      </c>
      <c r="P24" s="102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9" t="s">
        <v>147</v>
      </c>
      <c r="P28" s="109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F1" workbookViewId="0">
      <selection activeCell="J3" sqref="J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5" width="11.453125" customWidth="1"/>
    <col min="6" max="6" width="59.1796875" customWidth="1"/>
    <col min="7" max="7" width="31.453125" customWidth="1"/>
    <col min="8" max="8" width="11.453125" customWidth="1"/>
    <col min="9" max="9" width="59.1796875" customWidth="1"/>
    <col min="10" max="10" width="31.453125" customWidth="1"/>
    <col min="11" max="11" width="11.453125" customWidth="1"/>
    <col min="12" max="12" width="23.81640625" customWidth="1"/>
    <col min="13" max="14" width="11.453125" customWidth="1"/>
    <col min="15" max="15" width="17.81640625" customWidth="1"/>
    <col min="16" max="16" width="20.1796875" customWidth="1"/>
    <col min="17" max="26" width="11.453125" customWidth="1"/>
  </cols>
  <sheetData>
    <row r="3" spans="3:16" ht="16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 ht="14.5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 ht="14.5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 ht="14.5">
      <c r="L6" s="3"/>
      <c r="M6" s="16"/>
      <c r="N6" s="16"/>
      <c r="O6" s="16"/>
      <c r="P6" s="19"/>
    </row>
    <row r="7" spans="3:16" ht="14.5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 ht="14.5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 ht="14.5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 ht="14.5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 ht="14.5">
      <c r="C12" s="1" t="s">
        <v>86</v>
      </c>
      <c r="D12" s="1">
        <v>100</v>
      </c>
      <c r="F12" s="1" t="s">
        <v>86</v>
      </c>
      <c r="G12" s="1">
        <v>230</v>
      </c>
    </row>
    <row r="13" spans="3:16" ht="14.5">
      <c r="C13" s="1" t="s">
        <v>88</v>
      </c>
      <c r="D13" s="1">
        <v>70</v>
      </c>
      <c r="F13" s="1" t="s">
        <v>88</v>
      </c>
      <c r="G13" s="1">
        <v>70</v>
      </c>
    </row>
    <row r="14" spans="3:16" ht="14.5">
      <c r="C14" s="1" t="s">
        <v>90</v>
      </c>
      <c r="D14" s="1">
        <v>70</v>
      </c>
      <c r="F14" s="1" t="s">
        <v>90</v>
      </c>
      <c r="G14" s="1">
        <v>70</v>
      </c>
    </row>
    <row r="15" spans="3:16" ht="14.5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 ht="14.5">
      <c r="C19" s="1" t="s">
        <v>66</v>
      </c>
      <c r="F19" s="1" t="s">
        <v>66</v>
      </c>
      <c r="I19" s="1" t="s">
        <v>66</v>
      </c>
    </row>
    <row r="20" spans="3:10" ht="14.5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94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abSelected="1" topLeftCell="H1" workbookViewId="0">
      <selection activeCell="L3" sqref="L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4.54296875" customWidth="1"/>
    <col min="9" max="10" width="11.453125" customWidth="1"/>
    <col min="11" max="11" width="59" customWidth="1"/>
    <col min="12" max="12" width="24.54296875" customWidth="1"/>
    <col min="13" max="14" width="11.453125" customWidth="1"/>
    <col min="15" max="15" width="22.54296875" customWidth="1"/>
    <col min="16" max="17" width="11.81640625" customWidth="1"/>
    <col min="18" max="18" width="16.7265625" customWidth="1"/>
    <col min="19" max="19" width="11.453125" customWidth="1"/>
    <col min="20" max="20" width="21.453125" customWidth="1"/>
    <col min="21" max="22" width="11.453125" customWidth="1"/>
    <col min="23" max="23" width="12.26953125" customWidth="1"/>
    <col min="24" max="24" width="14.7265625" customWidth="1"/>
    <col min="25" max="32" width="11.453125" customWidth="1"/>
  </cols>
  <sheetData>
    <row r="2" spans="3:24" ht="16">
      <c r="T2" s="93"/>
    </row>
    <row r="3" spans="3:24" ht="14.5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 ht="14.5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 ht="14.5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 ht="14.5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 ht="14.5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 ht="14.5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 ht="14.5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 ht="14.5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 ht="14.5">
      <c r="K11" s="1" t="s">
        <v>84</v>
      </c>
      <c r="L11" s="1">
        <v>3.6</v>
      </c>
    </row>
    <row r="12" spans="3:24" ht="14.5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 ht="14.5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 ht="14.5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 ht="14.5">
      <c r="C19" s="1" t="s">
        <v>66</v>
      </c>
      <c r="G19" s="1" t="s">
        <v>66</v>
      </c>
      <c r="K19" s="1" t="s">
        <v>66</v>
      </c>
    </row>
    <row r="20" spans="3:12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opLeftCell="A16" zoomScale="130" zoomScaleNormal="130" workbookViewId="0">
      <selection activeCell="AL26" sqref="AL26"/>
    </sheetView>
  </sheetViews>
  <sheetFormatPr baseColWidth="10" defaultColWidth="12.54296875" defaultRowHeight="15" customHeight="1"/>
  <cols>
    <col min="1" max="2" width="10.54296875" customWidth="1"/>
    <col min="3" max="3" width="25.453125" customWidth="1"/>
    <col min="4" max="5" width="10.54296875" customWidth="1"/>
    <col min="6" max="6" width="14" customWidth="1"/>
    <col min="7" max="10" width="10.54296875" customWidth="1"/>
    <col min="11" max="11" width="22.7265625" customWidth="1"/>
    <col min="12" max="12" width="14.54296875" customWidth="1"/>
    <col min="13" max="13" width="15.54296875" customWidth="1"/>
    <col min="14" max="14" width="13.54296875" customWidth="1"/>
    <col min="15" max="15" width="14.54296875" customWidth="1"/>
    <col min="16" max="18" width="10.54296875" customWidth="1"/>
    <col min="19" max="19" width="22.7265625" customWidth="1"/>
    <col min="20" max="20" width="10.54296875" bestFit="1" customWidth="1"/>
    <col min="21" max="22" width="12" customWidth="1"/>
    <col min="23" max="23" width="13" customWidth="1"/>
    <col min="24" max="26" width="10.54296875" customWidth="1"/>
    <col min="27" max="27" width="22.7265625" customWidth="1"/>
    <col min="28" max="28" width="8.26953125" customWidth="1"/>
    <col min="29" max="29" width="11.54296875" customWidth="1"/>
    <col min="30" max="30" width="9.7265625" bestFit="1" customWidth="1"/>
    <col min="31" max="31" width="13.26953125" customWidth="1"/>
    <col min="32" max="32" width="10.54296875" customWidth="1"/>
    <col min="33" max="33" width="20.1796875" bestFit="1" customWidth="1"/>
    <col min="34" max="34" width="10.54296875" customWidth="1"/>
  </cols>
  <sheetData>
    <row r="3" spans="3:36" ht="14.5">
      <c r="C3" s="95" t="s">
        <v>110</v>
      </c>
      <c r="D3" s="98"/>
      <c r="E3" s="98"/>
      <c r="F3" s="98"/>
      <c r="G3" s="99"/>
      <c r="K3" s="95" t="s">
        <v>65</v>
      </c>
      <c r="L3" s="96"/>
      <c r="M3" s="96"/>
      <c r="N3" s="96"/>
      <c r="O3" s="97"/>
      <c r="S3" s="95" t="s">
        <v>121</v>
      </c>
      <c r="T3" s="96"/>
      <c r="U3" s="96"/>
      <c r="V3" s="96"/>
      <c r="W3" s="97"/>
      <c r="AA3" s="95" t="s">
        <v>137</v>
      </c>
      <c r="AB3" s="96"/>
      <c r="AC3" s="96"/>
      <c r="AD3" s="96"/>
      <c r="AE3" s="97"/>
      <c r="AG3" s="95" t="s">
        <v>137</v>
      </c>
      <c r="AH3" s="96"/>
      <c r="AI3" s="96"/>
      <c r="AJ3" s="97"/>
    </row>
    <row r="4" spans="3:36" ht="14.5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 ht="14.5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179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179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 ht="14.5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180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180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 ht="14.5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 ht="14.5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 ht="14.5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 ht="14.5">
      <c r="C13" s="95" t="s">
        <v>138</v>
      </c>
      <c r="D13" s="96"/>
      <c r="E13" s="96"/>
      <c r="F13" s="96"/>
      <c r="G13" s="97"/>
      <c r="K13" s="95" t="s">
        <v>140</v>
      </c>
      <c r="L13" s="96"/>
      <c r="M13" s="96"/>
      <c r="N13" s="96"/>
      <c r="O13" s="97"/>
      <c r="S13" s="95" t="s">
        <v>139</v>
      </c>
      <c r="T13" s="96"/>
      <c r="U13" s="96"/>
      <c r="V13" s="96"/>
      <c r="W13" s="97"/>
      <c r="AA13" s="95" t="s">
        <v>137</v>
      </c>
      <c r="AB13" s="96"/>
      <c r="AC13" s="96"/>
      <c r="AD13" s="96"/>
      <c r="AE13" s="97"/>
      <c r="AG13" s="95" t="s">
        <v>137</v>
      </c>
      <c r="AH13" s="96"/>
      <c r="AI13" s="96"/>
      <c r="AJ13" s="97"/>
    </row>
    <row r="14" spans="3:36" ht="14.5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 ht="14.5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179</v>
      </c>
      <c r="AB15" s="40">
        <f>AB5/$AD$5</f>
        <v>9.9999999999999992E-2</v>
      </c>
      <c r="AC15" s="40">
        <f t="shared" ref="AC15:AD15" si="8">AC5/$AD$5</f>
        <v>0.1875</v>
      </c>
      <c r="AD15" s="92">
        <f t="shared" si="8"/>
        <v>1</v>
      </c>
      <c r="AE15" s="40"/>
      <c r="AG15" s="35" t="s">
        <v>179</v>
      </c>
      <c r="AH15" s="40">
        <f>AH5/$AI$5</f>
        <v>0.53333333333333333</v>
      </c>
      <c r="AI15" s="92">
        <f t="shared" ref="AI15" si="9">AI5/$AI$5</f>
        <v>1</v>
      </c>
      <c r="AJ15" s="40"/>
    </row>
    <row r="16" spans="3:36" ht="14.5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180</v>
      </c>
      <c r="AB16" s="40">
        <f>AB6/$AD$6</f>
        <v>4.1120078508279995E-4</v>
      </c>
      <c r="AC16" s="40">
        <f t="shared" ref="AC16:AD16" si="13">AC6/$AD$6</f>
        <v>3.7866167307016083E-4</v>
      </c>
      <c r="AD16" s="92">
        <f t="shared" si="13"/>
        <v>1</v>
      </c>
      <c r="AE16" s="40"/>
      <c r="AG16" s="35" t="s">
        <v>180</v>
      </c>
      <c r="AH16" s="92">
        <f>AH6/$AH$6</f>
        <v>1</v>
      </c>
      <c r="AI16" s="40">
        <f t="shared" ref="AI16" si="14">AI6/$AH$6</f>
        <v>0.92086806933968512</v>
      </c>
      <c r="AJ16" s="40"/>
    </row>
    <row r="17" spans="3:36" ht="14.5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D17" si="18">AC7/$AD$7</f>
        <v>0.10060844751958715</v>
      </c>
      <c r="AD17" s="92">
        <f t="shared" si="18"/>
        <v>1</v>
      </c>
      <c r="AE17" s="40"/>
      <c r="AG17" s="35" t="s">
        <v>118</v>
      </c>
      <c r="AH17" s="40">
        <f>AH7/$AI$7</f>
        <v>0.45483205394252563</v>
      </c>
      <c r="AI17" s="92">
        <f t="shared" ref="AI17" si="19">AI7/$AI$7</f>
        <v>1</v>
      </c>
      <c r="AJ17" s="40"/>
    </row>
    <row r="18" spans="3:36" ht="14.5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D18" si="23">AC8/$AD$8</f>
        <v>0.19048405762810935</v>
      </c>
      <c r="AD18" s="92">
        <f t="shared" si="23"/>
        <v>1</v>
      </c>
      <c r="AE18" s="40"/>
      <c r="AG18" s="35" t="s">
        <v>92</v>
      </c>
      <c r="AH18" s="40">
        <f>AH8/$AI$8</f>
        <v>0.70813066218463283</v>
      </c>
      <c r="AI18" s="92">
        <f t="shared" ref="AI18" si="24">AI8/$AI$8</f>
        <v>1</v>
      </c>
      <c r="AJ18" s="40"/>
    </row>
    <row r="19" spans="3:36" ht="14.5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D19" si="28">AC9/$AC$9</f>
        <v>1</v>
      </c>
      <c r="AD19" s="40">
        <f t="shared" si="28"/>
        <v>0.62099572881355936</v>
      </c>
      <c r="AE19" s="40"/>
      <c r="AG19" s="35" t="s">
        <v>78</v>
      </c>
      <c r="AH19" s="40">
        <f>AH9/$AI$9</f>
        <v>0.59491525423728808</v>
      </c>
      <c r="AI19" s="92">
        <f t="shared" ref="AI19" si="29">AI9/$AI$9</f>
        <v>1</v>
      </c>
      <c r="AJ19" s="40"/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LFP</vt:lpstr>
      <vt:lpstr>NMC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2026-03-05T15:01:42Z</dcterms:modified>
</cp:coreProperties>
</file>