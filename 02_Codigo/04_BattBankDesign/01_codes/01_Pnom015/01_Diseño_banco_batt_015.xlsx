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harts/chart4.xml" ContentType="application/vnd.openxmlformats-officedocument.drawingml.chart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2" ContentType="application/binary"/>
  <Override PartName="/xl/commentsmeta1" ContentType="application/binary"/>
  <Override PartName="/xl/commentsmeta3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PC\Desktop\Tesis Magister\02_Codigo\04_BattBankDesign\01_codes\01_Pnom015\"/>
    </mc:Choice>
  </mc:AlternateContent>
  <xr:revisionPtr revIDLastSave="0" documentId="13_ncr:1_{E3A50749-8C77-4608-9C2C-47116DB3F88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1m_15%" sheetId="8" r:id="rId1"/>
    <sheet name="2m_15%" sheetId="9" r:id="rId2"/>
    <sheet name="EnergyDemand_15%" sheetId="10" r:id="rId3"/>
    <sheet name="Batt3" sheetId="3" r:id="rId4"/>
    <sheet name="NMC" sheetId="5" r:id="rId5"/>
    <sheet name="LFP" sheetId="4" r:id="rId6"/>
    <sheet name="LTO" sheetId="6" r:id="rId7"/>
    <sheet name="Radar_Plot" sheetId="7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lPjBNExmyoJMeRrf3Un+WBAWBF0kEtzS/TFHWl1a6d8="/>
    </ext>
  </extLst>
</workbook>
</file>

<file path=xl/calcChain.xml><?xml version="1.0" encoding="utf-8"?>
<calcChain xmlns="http://schemas.openxmlformats.org/spreadsheetml/2006/main">
  <c r="H12" i="9" l="1"/>
  <c r="G12" i="9"/>
  <c r="H11" i="9"/>
  <c r="G11" i="9"/>
  <c r="G5" i="9"/>
  <c r="G9" i="8"/>
  <c r="H23" i="8"/>
  <c r="G23" i="8"/>
  <c r="H21" i="8"/>
  <c r="G21" i="8"/>
  <c r="L22" i="4"/>
  <c r="Q30" i="4"/>
  <c r="P30" i="4"/>
  <c r="P29" i="4"/>
  <c r="AI19" i="7"/>
  <c r="AH19" i="7"/>
  <c r="AI18" i="7"/>
  <c r="AH18" i="7"/>
  <c r="AI17" i="7"/>
  <c r="AH17" i="7"/>
  <c r="AI16" i="7"/>
  <c r="AH16" i="7"/>
  <c r="AI15" i="7"/>
  <c r="AH15" i="7"/>
  <c r="AJ5" i="7"/>
  <c r="AJ6" i="7"/>
  <c r="AJ7" i="7"/>
  <c r="AJ8" i="7"/>
  <c r="AJ9" i="7"/>
  <c r="AC19" i="7"/>
  <c r="AD19" i="7"/>
  <c r="AB19" i="7"/>
  <c r="AC18" i="7"/>
  <c r="AD18" i="7"/>
  <c r="AB18" i="7"/>
  <c r="AC17" i="7"/>
  <c r="AD17" i="7"/>
  <c r="AB17" i="7"/>
  <c r="AC16" i="7"/>
  <c r="AD16" i="7"/>
  <c r="AB16" i="7"/>
  <c r="AC15" i="7"/>
  <c r="AD15" i="7"/>
  <c r="AB15" i="7"/>
  <c r="AE6" i="7"/>
  <c r="AE7" i="7"/>
  <c r="AE8" i="7"/>
  <c r="AE9" i="7"/>
  <c r="AE5" i="7"/>
  <c r="U15" i="7"/>
  <c r="V15" i="7"/>
  <c r="W15" i="7"/>
  <c r="T15" i="7"/>
  <c r="W5" i="7"/>
  <c r="V9" i="7"/>
  <c r="V19" i="7" s="1"/>
  <c r="U9" i="7"/>
  <c r="U19" i="7" s="1"/>
  <c r="T9" i="7"/>
  <c r="T19" i="7" s="1"/>
  <c r="V8" i="7"/>
  <c r="U8" i="7"/>
  <c r="T18" i="7" s="1"/>
  <c r="T8" i="7"/>
  <c r="W8" i="7" s="1"/>
  <c r="W18" i="7" s="1"/>
  <c r="V7" i="7"/>
  <c r="V17" i="7" s="1"/>
  <c r="U7" i="7"/>
  <c r="U17" i="7" s="1"/>
  <c r="T7" i="7"/>
  <c r="T17" i="7" s="1"/>
  <c r="V6" i="7"/>
  <c r="V16" i="7" s="1"/>
  <c r="U6" i="7"/>
  <c r="T16" i="7" s="1"/>
  <c r="T6" i="7"/>
  <c r="W6" i="7" s="1"/>
  <c r="W16" i="7" s="1"/>
  <c r="O5" i="7"/>
  <c r="O15" i="7" s="1"/>
  <c r="M15" i="7"/>
  <c r="N15" i="7"/>
  <c r="L15" i="7"/>
  <c r="M9" i="7"/>
  <c r="L9" i="7"/>
  <c r="M8" i="7"/>
  <c r="L8" i="7"/>
  <c r="M7" i="7"/>
  <c r="L7" i="7"/>
  <c r="M6" i="7"/>
  <c r="M16" i="7" s="1"/>
  <c r="L6" i="7"/>
  <c r="E15" i="7"/>
  <c r="F15" i="7"/>
  <c r="D15" i="7"/>
  <c r="G5" i="7"/>
  <c r="G15" i="7" s="1"/>
  <c r="D50" i="5"/>
  <c r="G50" i="5"/>
  <c r="J50" i="5"/>
  <c r="F9" i="7" s="1"/>
  <c r="F19" i="7" s="1"/>
  <c r="E9" i="7"/>
  <c r="E19" i="7" s="1"/>
  <c r="D9" i="7"/>
  <c r="D19" i="7" s="1"/>
  <c r="F8" i="7"/>
  <c r="F18" i="7" s="1"/>
  <c r="E8" i="7"/>
  <c r="E18" i="7" s="1"/>
  <c r="D8" i="7"/>
  <c r="G8" i="7" s="1"/>
  <c r="G18" i="7" s="1"/>
  <c r="F7" i="7"/>
  <c r="F17" i="7" s="1"/>
  <c r="E7" i="7"/>
  <c r="E17" i="7" s="1"/>
  <c r="D7" i="7"/>
  <c r="G7" i="7" s="1"/>
  <c r="G17" i="7" s="1"/>
  <c r="F6" i="7"/>
  <c r="F16" i="7" s="1"/>
  <c r="E6" i="7"/>
  <c r="E16" i="7" s="1"/>
  <c r="D6" i="7"/>
  <c r="D16" i="7" s="1"/>
  <c r="L44" i="6"/>
  <c r="H44" i="6"/>
  <c r="J47" i="5"/>
  <c r="J31" i="5"/>
  <c r="D23" i="6"/>
  <c r="H23" i="6"/>
  <c r="L19" i="7" l="1"/>
  <c r="M19" i="7"/>
  <c r="M18" i="7"/>
  <c r="L17" i="7"/>
  <c r="M17" i="7"/>
  <c r="G6" i="7"/>
  <c r="G16" i="7" s="1"/>
  <c r="G9" i="7"/>
  <c r="G19" i="7" s="1"/>
  <c r="D17" i="7"/>
  <c r="D18" i="7"/>
  <c r="L16" i="7"/>
  <c r="L18" i="7"/>
  <c r="W7" i="7"/>
  <c r="W17" i="7" s="1"/>
  <c r="U16" i="7"/>
  <c r="V18" i="7"/>
  <c r="U18" i="7"/>
  <c r="W9" i="7"/>
  <c r="W19" i="7" s="1"/>
  <c r="L34" i="6"/>
  <c r="H32" i="6"/>
  <c r="D31" i="6"/>
  <c r="L24" i="6"/>
  <c r="L48" i="6"/>
  <c r="L39" i="6"/>
  <c r="L40" i="6"/>
  <c r="L41" i="6"/>
  <c r="L23" i="6"/>
  <c r="D49" i="6"/>
  <c r="H42" i="6"/>
  <c r="D42" i="6"/>
  <c r="D43" i="6"/>
  <c r="D39" i="6"/>
  <c r="D40" i="6"/>
  <c r="D41" i="6"/>
  <c r="H48" i="6"/>
  <c r="H39" i="6"/>
  <c r="H36" i="6" s="1"/>
  <c r="H37" i="6"/>
  <c r="H40" i="6"/>
  <c r="H41" i="6"/>
  <c r="H29" i="6"/>
  <c r="H28" i="6"/>
  <c r="H26" i="6"/>
  <c r="H34" i="6" s="1"/>
  <c r="H10" i="6"/>
  <c r="D21" i="6"/>
  <c r="L33" i="6"/>
  <c r="L21" i="6"/>
  <c r="H33" i="6"/>
  <c r="H21" i="6"/>
  <c r="D33" i="6"/>
  <c r="D33" i="5"/>
  <c r="D34" i="4"/>
  <c r="H34" i="4"/>
  <c r="D29" i="4"/>
  <c r="D44" i="4"/>
  <c r="D15" i="4"/>
  <c r="K44" i="5"/>
  <c r="H44" i="5"/>
  <c r="E44" i="5"/>
  <c r="G43" i="5"/>
  <c r="J43" i="5"/>
  <c r="D51" i="5"/>
  <c r="J51" i="5"/>
  <c r="G51" i="5"/>
  <c r="D49" i="5"/>
  <c r="J48" i="5"/>
  <c r="G48" i="5"/>
  <c r="G45" i="5"/>
  <c r="D29" i="5"/>
  <c r="D28" i="5"/>
  <c r="D24" i="5"/>
  <c r="D26" i="5"/>
  <c r="D42" i="5"/>
  <c r="H29" i="4"/>
  <c r="D22" i="5"/>
  <c r="E16" i="10"/>
  <c r="E15" i="10"/>
  <c r="E14" i="10"/>
  <c r="E13" i="10"/>
  <c r="E10" i="10"/>
  <c r="E4" i="10"/>
  <c r="D23" i="5"/>
  <c r="E11" i="10"/>
  <c r="F28" i="8"/>
  <c r="F25" i="9"/>
  <c r="F20" i="8"/>
  <c r="F19" i="8"/>
  <c r="F12" i="8"/>
  <c r="F11" i="8"/>
  <c r="F18" i="9"/>
  <c r="F6" i="9"/>
  <c r="F5" i="9"/>
  <c r="F11" i="9"/>
  <c r="F12" i="9"/>
  <c r="F13" i="9"/>
  <c r="F14" i="9"/>
  <c r="F15" i="9"/>
  <c r="F16" i="9"/>
  <c r="F17" i="9"/>
  <c r="F24" i="9"/>
  <c r="F4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4" i="9"/>
  <c r="E6" i="9"/>
  <c r="E5" i="9"/>
  <c r="F9" i="8"/>
  <c r="E8" i="8"/>
  <c r="E7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D9" i="6" l="1"/>
  <c r="J26" i="5"/>
  <c r="J49" i="5" s="1"/>
  <c r="J34" i="5"/>
  <c r="G31" i="5"/>
  <c r="J24" i="5"/>
  <c r="J23" i="5"/>
  <c r="G22" i="5"/>
  <c r="G24" i="5" s="1"/>
  <c r="L37" i="4"/>
  <c r="L48" i="4"/>
  <c r="H25" i="4"/>
  <c r="D25" i="4"/>
  <c r="F26" i="8"/>
  <c r="F24" i="8"/>
  <c r="F22" i="8"/>
  <c r="F7" i="8"/>
  <c r="H5" i="10" l="1"/>
  <c r="J29" i="5"/>
  <c r="J28" i="5"/>
  <c r="F27" i="8"/>
  <c r="F23" i="8"/>
  <c r="F21" i="8"/>
  <c r="F25" i="8"/>
  <c r="F10" i="8"/>
  <c r="F8" i="8"/>
  <c r="H45" i="6" l="1"/>
  <c r="D45" i="6"/>
  <c r="L42" i="6"/>
  <c r="H43" i="6"/>
  <c r="D48" i="6"/>
  <c r="E49" i="6" s="1"/>
  <c r="L36" i="6"/>
  <c r="L38" i="6"/>
  <c r="L37" i="6"/>
  <c r="D36" i="6"/>
  <c r="L31" i="6"/>
  <c r="L22" i="6"/>
  <c r="L26" i="6" s="1"/>
  <c r="L28" i="6" s="1"/>
  <c r="H22" i="6"/>
  <c r="D22" i="6"/>
  <c r="H15" i="6"/>
  <c r="D15" i="6"/>
  <c r="L12" i="6"/>
  <c r="L15" i="6" s="1"/>
  <c r="L7" i="6"/>
  <c r="D45" i="5"/>
  <c r="J44" i="5"/>
  <c r="J42" i="5"/>
  <c r="G42" i="5"/>
  <c r="J40" i="5"/>
  <c r="J39" i="5"/>
  <c r="J45" i="5" s="1"/>
  <c r="J46" i="5" s="1"/>
  <c r="J33" i="5"/>
  <c r="J15" i="5" s="1"/>
  <c r="G33" i="5"/>
  <c r="D31" i="5"/>
  <c r="G26" i="5"/>
  <c r="G23" i="5"/>
  <c r="J21" i="5"/>
  <c r="G15" i="5"/>
  <c r="D15" i="5"/>
  <c r="G9" i="5"/>
  <c r="D9" i="5"/>
  <c r="G7" i="5"/>
  <c r="D7" i="5"/>
  <c r="H48" i="4"/>
  <c r="D48" i="4"/>
  <c r="L45" i="4"/>
  <c r="H45" i="4"/>
  <c r="D45" i="4"/>
  <c r="L42" i="4"/>
  <c r="H42" i="4"/>
  <c r="D42" i="4"/>
  <c r="L38" i="4"/>
  <c r="H38" i="4"/>
  <c r="D38" i="4"/>
  <c r="H37" i="4"/>
  <c r="D37" i="4"/>
  <c r="L36" i="4"/>
  <c r="H36" i="4"/>
  <c r="D36" i="4"/>
  <c r="P23" i="4"/>
  <c r="L23" i="4"/>
  <c r="L24" i="4" s="1"/>
  <c r="L26" i="4" s="1"/>
  <c r="H23" i="4"/>
  <c r="H24" i="4" s="1"/>
  <c r="H26" i="4" s="1"/>
  <c r="P22" i="4"/>
  <c r="H22" i="4"/>
  <c r="D22" i="4"/>
  <c r="P15" i="4"/>
  <c r="L15" i="4"/>
  <c r="H15" i="4"/>
  <c r="D33" i="4"/>
  <c r="D11" i="4"/>
  <c r="D10" i="4"/>
  <c r="H7" i="4"/>
  <c r="C58" i="3"/>
  <c r="C59" i="3" s="1"/>
  <c r="C60" i="3" s="1"/>
  <c r="G57" i="3"/>
  <c r="G58" i="3" s="1"/>
  <c r="G59" i="3" s="1"/>
  <c r="G60" i="3" s="1"/>
  <c r="C57" i="3"/>
  <c r="G56" i="3"/>
  <c r="G64" i="3" s="1"/>
  <c r="G65" i="3" s="1"/>
  <c r="G66" i="3" s="1"/>
  <c r="C56" i="3"/>
  <c r="C64" i="3" s="1"/>
  <c r="C65" i="3" s="1"/>
  <c r="C66" i="3" s="1"/>
  <c r="G55" i="3"/>
  <c r="G61" i="3" s="1"/>
  <c r="G62" i="3" s="1"/>
  <c r="G63" i="3" s="1"/>
  <c r="C55" i="3"/>
  <c r="C61" i="3" s="1"/>
  <c r="E40" i="3"/>
  <c r="E42" i="3" s="1"/>
  <c r="E38" i="3"/>
  <c r="K34" i="3"/>
  <c r="K33" i="3"/>
  <c r="K32" i="3"/>
  <c r="K31" i="3"/>
  <c r="K30" i="3"/>
  <c r="K29" i="3"/>
  <c r="G29" i="3"/>
  <c r="C29" i="3"/>
  <c r="K28" i="3"/>
  <c r="K27" i="3"/>
  <c r="K26" i="3"/>
  <c r="K25" i="3"/>
  <c r="G25" i="3"/>
  <c r="C25" i="3"/>
  <c r="K24" i="3"/>
  <c r="K23" i="3"/>
  <c r="M18" i="3"/>
  <c r="K18" i="3"/>
  <c r="M17" i="3"/>
  <c r="K17" i="3"/>
  <c r="M16" i="3"/>
  <c r="K16" i="3"/>
  <c r="M15" i="3"/>
  <c r="K15" i="3"/>
  <c r="M14" i="3"/>
  <c r="K14" i="3"/>
  <c r="G14" i="3"/>
  <c r="M13" i="3"/>
  <c r="K13" i="3"/>
  <c r="M12" i="3"/>
  <c r="K12" i="3"/>
  <c r="M11" i="3"/>
  <c r="K11" i="3"/>
  <c r="M10" i="3"/>
  <c r="K10" i="3"/>
  <c r="G10" i="3"/>
  <c r="C10" i="3"/>
  <c r="M9" i="3"/>
  <c r="K9" i="3"/>
  <c r="M8" i="3"/>
  <c r="K8" i="3"/>
  <c r="M7" i="3"/>
  <c r="K7" i="3"/>
  <c r="G5" i="3"/>
  <c r="G22" i="3" s="1"/>
  <c r="G30" i="3" s="1"/>
  <c r="C5" i="3"/>
  <c r="C7" i="3" s="1"/>
  <c r="C11" i="3" s="1"/>
  <c r="C13" i="3" s="1"/>
  <c r="L29" i="4" l="1"/>
  <c r="N6" i="7" s="1"/>
  <c r="L49" i="4"/>
  <c r="L50" i="4" s="1"/>
  <c r="N9" i="7" s="1"/>
  <c r="G29" i="5"/>
  <c r="G49" i="5"/>
  <c r="G28" i="5"/>
  <c r="L29" i="6"/>
  <c r="C17" i="3"/>
  <c r="C18" i="3"/>
  <c r="L46" i="4"/>
  <c r="L47" i="4" s="1"/>
  <c r="L28" i="4"/>
  <c r="H46" i="4"/>
  <c r="H47" i="4" s="1"/>
  <c r="H49" i="4"/>
  <c r="H50" i="4" s="1"/>
  <c r="H28" i="4"/>
  <c r="H43" i="4"/>
  <c r="H44" i="4" s="1"/>
  <c r="J9" i="5"/>
  <c r="G31" i="3"/>
  <c r="E45" i="3"/>
  <c r="E44" i="3"/>
  <c r="C62" i="3"/>
  <c r="C63" i="3" s="1"/>
  <c r="D43" i="5"/>
  <c r="D44" i="5" s="1"/>
  <c r="D46" i="5"/>
  <c r="D47" i="5" s="1"/>
  <c r="L6" i="6"/>
  <c r="L49" i="6"/>
  <c r="L43" i="6"/>
  <c r="L43" i="4"/>
  <c r="L44" i="4" s="1"/>
  <c r="G44" i="5"/>
  <c r="G46" i="5"/>
  <c r="G47" i="5" s="1"/>
  <c r="L45" i="6"/>
  <c r="L46" i="6" s="1"/>
  <c r="L47" i="6" s="1"/>
  <c r="D38" i="6"/>
  <c r="G7" i="3"/>
  <c r="G11" i="3" s="1"/>
  <c r="G15" i="3" s="1"/>
  <c r="D24" i="4"/>
  <c r="D26" i="4" s="1"/>
  <c r="D43" i="4" s="1"/>
  <c r="D37" i="6"/>
  <c r="H38" i="6"/>
  <c r="N19" i="7" l="1"/>
  <c r="O9" i="7"/>
  <c r="O19" i="7" s="1"/>
  <c r="N16" i="7"/>
  <c r="O6" i="7"/>
  <c r="O16" i="7" s="1"/>
  <c r="L50" i="6"/>
  <c r="M50" i="6" s="1"/>
  <c r="M49" i="6"/>
  <c r="M43" i="6"/>
  <c r="G34" i="5"/>
  <c r="G32" i="5"/>
  <c r="L32" i="6"/>
  <c r="D49" i="4"/>
  <c r="D50" i="4" s="1"/>
  <c r="H32" i="4"/>
  <c r="D24" i="6"/>
  <c r="D26" i="6" s="1"/>
  <c r="D29" i="6" s="1"/>
  <c r="L34" i="4"/>
  <c r="N8" i="7" s="1"/>
  <c r="L32" i="4"/>
  <c r="N7" i="7" s="1"/>
  <c r="E50" i="3"/>
  <c r="E48" i="3"/>
  <c r="C22" i="3"/>
  <c r="C20" i="3"/>
  <c r="H24" i="6"/>
  <c r="H9" i="6"/>
  <c r="D46" i="4"/>
  <c r="D47" i="4" s="1"/>
  <c r="D28" i="4"/>
  <c r="D34" i="5"/>
  <c r="D32" i="5"/>
  <c r="N17" i="7" l="1"/>
  <c r="O7" i="7"/>
  <c r="O17" i="7" s="1"/>
  <c r="O8" i="7"/>
  <c r="O18" i="7" s="1"/>
  <c r="N18" i="7"/>
  <c r="M44" i="6"/>
  <c r="H46" i="6"/>
  <c r="H47" i="6" s="1"/>
  <c r="H49" i="6"/>
  <c r="C31" i="3"/>
  <c r="C30" i="3"/>
  <c r="D28" i="6"/>
  <c r="D34" i="6"/>
  <c r="D46" i="6"/>
  <c r="D47" i="6" s="1"/>
  <c r="D50" i="6"/>
  <c r="E50" i="6" s="1"/>
  <c r="D32" i="4"/>
  <c r="D44" i="6" l="1"/>
  <c r="E43" i="6"/>
  <c r="H50" i="6"/>
  <c r="D32" i="6"/>
  <c r="E44" i="6" l="1"/>
  <c r="J8" i="5"/>
  <c r="J7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6" authorId="0" shapeId="0" xr:uid="{00000000-0006-0000-0200-000002000000}">
      <text>
        <r>
          <rPr>
            <sz val="11"/>
            <color theme="1"/>
            <rFont val="Aptos Narrow"/>
            <scheme val="minor"/>
          </rPr>
          <t>======
ID#AAABYWq4-H0
Leonardo Solis Zamora    (2024-11-11 12:21:57)
Dato Propuesto</t>
        </r>
      </text>
    </comment>
    <comment ref="E41" authorId="0" shapeId="0" xr:uid="{00000000-0006-0000-0200-000003000000}">
      <text>
        <r>
          <rPr>
            <sz val="11"/>
            <color theme="1"/>
            <rFont val="Aptos Narrow"/>
            <scheme val="minor"/>
          </rPr>
          <t>======
ID#AAABYWq4-Hw
Leonardo Solis Zamora    (2024-11-11 12:21:57)
Dato Propuesto</t>
        </r>
      </text>
    </comment>
    <comment ref="B55" authorId="0" shapeId="0" xr:uid="{00000000-0006-0000-0200-000001000000}">
      <text>
        <r>
          <rPr>
            <sz val="11"/>
            <color theme="1"/>
            <rFont val="Aptos Narrow"/>
            <scheme val="minor"/>
          </rPr>
          <t>======
ID#AAABYWq4-H4
Leonardo Solis Zamora    (2024-11-11 12:21:57)
https://www.ecolithiumbattery.com/battery-c-rating/#:~:text=So%20different%20material%20battery%20will,3C%20about%20LiFePO4%20prismatic%20battery.</t>
        </r>
      </text>
    </comment>
    <comment ref="F55" authorId="0" shapeId="0" xr:uid="{00000000-0006-0000-0200-000004000000}">
      <text>
        <r>
          <rPr>
            <sz val="11"/>
            <color theme="1"/>
            <rFont val="Aptos Narrow"/>
            <scheme val="minor"/>
          </rPr>
          <t>======
ID#AAABYWq4-HY
Leonardo Solis Zamora    (2024-11-11 12:21:57)
https://www.ecolithiumbattery.com/battery-c-rating/#:~:text=So%20different%20material%20battery%20will,3C%20about%20LiFePO4%20prismatic%20battery.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CAd2zO/X9Q4qIlkltXK9PEKN0m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6" authorId="0" shapeId="0" xr:uid="{00000000-0006-0000-0400-000002000000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  <comment ref="F36" authorId="0" shapeId="0" xr:uid="{38765D0A-A651-4024-94EF-1C03CA1345EA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  <comment ref="I36" authorId="0" shapeId="0" xr:uid="{F80266AA-D398-4C7A-8C05-363C86791AA0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ijWbr9bOGXsEHPF72CLOQVUVDK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6" authorId="0" shapeId="0" xr:uid="{5E5CFAFA-CB9C-424F-AAB6-64ABE5E97BCA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  <comment ref="G36" authorId="0" shapeId="0" xr:uid="{94E34E4E-39A7-4F6A-B8BE-D3B46C47E4DD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  <comment ref="K36" authorId="0" shapeId="0" xr:uid="{575B06E8-573C-4782-BC14-4832BE57AF7C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V9WjoyvENNABFJHeX9WU1rdnWOg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6" authorId="0" shapeId="0" xr:uid="{0E092C67-1621-46B5-8861-61A442E34093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  <comment ref="G36" authorId="0" shapeId="0" xr:uid="{A893A6EF-DC98-4691-A386-319C076B6D64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  <comment ref="K36" authorId="0" shapeId="0" xr:uid="{F4C3DB05-B19E-404F-A433-2788698E09AE}">
      <text>
        <r>
          <rPr>
            <sz val="11"/>
            <color theme="1"/>
            <rFont val="Aptos Narrow"/>
            <scheme val="minor"/>
          </rPr>
          <t>======
ID#AAABYWq4-HE
Leonardo Solis Zamora    (2024-11-11 12:21:57)
https://www.ecolithiumbattery.com/battery-c-rating/#:~:text=So%20different%20material%20battery%20will,3C%20about%20LiFePO4%20prismatic%20battery.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soEeXvGyLU0P1SkksBihVM1mFPw=="/>
    </ext>
  </extLst>
</comments>
</file>

<file path=xl/sharedStrings.xml><?xml version="1.0" encoding="utf-8"?>
<sst xmlns="http://schemas.openxmlformats.org/spreadsheetml/2006/main" count="648" uniqueCount="181">
  <si>
    <t xml:space="preserve">Nombre </t>
  </si>
  <si>
    <t>Tensión Banco Batt [V]</t>
  </si>
  <si>
    <t>V nom (modulo)</t>
  </si>
  <si>
    <t>Tensión Banco Batt</t>
  </si>
  <si>
    <t>Capacidad Banco Batt [Ah]</t>
  </si>
  <si>
    <t>Tensión del banco</t>
  </si>
  <si>
    <t>DOD</t>
  </si>
  <si>
    <t>Cantidad de baterias en Paralelo</t>
  </si>
  <si>
    <t>Capacidad Módulo [Ah]</t>
  </si>
  <si>
    <t>Np</t>
  </si>
  <si>
    <t>Np Real</t>
  </si>
  <si>
    <t>Ejercicio 1</t>
  </si>
  <si>
    <t>High Efficiency 48V 210Ah Forklift Battery</t>
  </si>
  <si>
    <t>Cálculo de cantidad de baterías en función de DOD ( Batt=Batt(DOD) )</t>
  </si>
  <si>
    <t>Cálculo de DOD en función de Baterías ( DOD=DOD(Batt) )</t>
  </si>
  <si>
    <t>Ns máx fab (?)</t>
  </si>
  <si>
    <t>Np*Ns</t>
  </si>
  <si>
    <t>SOC</t>
  </si>
  <si>
    <t>Ebatt Tot [kWh]</t>
  </si>
  <si>
    <t>Csist requerida [Ah]</t>
  </si>
  <si>
    <t>C total del banco [Ah]</t>
  </si>
  <si>
    <t>Np máx fab (?)</t>
  </si>
  <si>
    <t>Capacidad total banco  [Ah]</t>
  </si>
  <si>
    <t>Total de Baterías</t>
  </si>
  <si>
    <t>Peso B_Bank [kg]</t>
  </si>
  <si>
    <t>Vol [cm3]</t>
  </si>
  <si>
    <t>Peso y volumen del banco</t>
  </si>
  <si>
    <t>Peso módulo [kg]</t>
  </si>
  <si>
    <t>Largo [cm]</t>
  </si>
  <si>
    <t>Ancho [cm]</t>
  </si>
  <si>
    <t>Alto [cm]</t>
  </si>
  <si>
    <t>Peso Total Banco [kg]</t>
  </si>
  <si>
    <t>Volumen Total Banco [cm3]</t>
  </si>
  <si>
    <t>Ejercicio 2</t>
  </si>
  <si>
    <t>Ubp [V] (Battery pack voltage)</t>
  </si>
  <si>
    <t>Ubc [V] (Baterry cell voltage)</t>
  </si>
  <si>
    <t>Ncs [-] (Number of cell in string)</t>
  </si>
  <si>
    <t>Ebc [Wh] (Energy of a baterry cell)</t>
  </si>
  <si>
    <t>Ebs [Wh] (Energy of a String)</t>
  </si>
  <si>
    <t>Ebp [Wh] (Battery pack total energy)</t>
  </si>
  <si>
    <t>Nsb [-] (Number of strings in a battery pack)</t>
  </si>
  <si>
    <t>Cbc [Ah] (Battery cell capacity)</t>
  </si>
  <si>
    <t>Cbp [Ah] (Battery pack capacity)</t>
  </si>
  <si>
    <t>Ncb [-] (Number of cells of the battery pack)</t>
  </si>
  <si>
    <t>mbc [kg] (mass of each battery cell)</t>
  </si>
  <si>
    <t>mbp [kg] (battery mass pack)</t>
  </si>
  <si>
    <t>Vcc(pc) [m3] (volume of each cell)</t>
  </si>
  <si>
    <t>Vbp [m3] (volume of the battery pack)</t>
  </si>
  <si>
    <t>Ejercicio 2 - Dato corrientes proveedor</t>
  </si>
  <si>
    <t>Ejercicio 2 - Dato C_rate proveedor</t>
  </si>
  <si>
    <t>Charge Current [A]</t>
  </si>
  <si>
    <t>Constant Discharge Current [A]</t>
  </si>
  <si>
    <t>Peak Discharge Current [A] @5</t>
  </si>
  <si>
    <t>C-rate_bcc[1/h] (continuous C-rate of the battery cell)(charge)</t>
  </si>
  <si>
    <t>C-rate_bcc[1/h] (continuous C-rate of the battery cell)(discharge)</t>
  </si>
  <si>
    <t>C-rate_bcp[1/h] (peak C-rate of the battery cell)</t>
  </si>
  <si>
    <t>Ispc [A] (string peak current)</t>
  </si>
  <si>
    <t>Ibpp[A] (battery pack pack current)</t>
  </si>
  <si>
    <t>Pbpp [W] (battery pack peak power)</t>
  </si>
  <si>
    <t>Iscc [A] (string continuous current) (charge)</t>
  </si>
  <si>
    <t>Ibpc[A] (battery pack continuous current) (charge)</t>
  </si>
  <si>
    <t>Pbpc[W] (battery pack continuous power) (charge)</t>
  </si>
  <si>
    <t>Iscc [A] (string continuous current) (discharge)</t>
  </si>
  <si>
    <t>Ibpc[A] (battery pack continuous current) (discharge)</t>
  </si>
  <si>
    <t>Pbpc[W] (battery pack continuous power) (discharge)</t>
  </si>
  <si>
    <t>Baterías LFP (LiFePO4)</t>
  </si>
  <si>
    <t>Batería</t>
  </si>
  <si>
    <t>URB1270</t>
  </si>
  <si>
    <t>PSL-SC-12500</t>
  </si>
  <si>
    <t>U27-36XP</t>
  </si>
  <si>
    <t>Ultralife</t>
  </si>
  <si>
    <t>PowerSonic</t>
  </si>
  <si>
    <t>Valence</t>
  </si>
  <si>
    <t>Marca</t>
  </si>
  <si>
    <t>Ciclos de Vida</t>
  </si>
  <si>
    <t>Tecnología</t>
  </si>
  <si>
    <t>LFP</t>
  </si>
  <si>
    <t>Energy Density [Wh/kg]</t>
  </si>
  <si>
    <t>Power Discharge [kW]</t>
  </si>
  <si>
    <t>Battery Cell Weight min [kg]</t>
  </si>
  <si>
    <t>Battery Cell Weight [kg]</t>
  </si>
  <si>
    <t>Battery Cell Weight max [kg]</t>
  </si>
  <si>
    <t>Energy min [Wh]</t>
  </si>
  <si>
    <t>Energy max [Wh]</t>
  </si>
  <si>
    <t>Energy [Wh]</t>
  </si>
  <si>
    <t>Motor Main Diesel Cat3516B</t>
  </si>
  <si>
    <t>Length [mm]</t>
  </si>
  <si>
    <t>Dim A (mm)</t>
  </si>
  <si>
    <t>Width [mm]</t>
  </si>
  <si>
    <t>Dim B (mm)</t>
  </si>
  <si>
    <t>Thickness [mm]</t>
  </si>
  <si>
    <t>Dim C (mm)</t>
  </si>
  <si>
    <t>Volume [m3]</t>
  </si>
  <si>
    <t>Volume [L]</t>
  </si>
  <si>
    <t>Vdiesel (mm3)</t>
  </si>
  <si>
    <t>Vdiesel (m3)</t>
  </si>
  <si>
    <t>Vdiesel (L)</t>
  </si>
  <si>
    <t>mdiesel (kg)</t>
  </si>
  <si>
    <t>Battery  Pack DAMEN ASD TUG 2810</t>
  </si>
  <si>
    <t>Total number</t>
  </si>
  <si>
    <t>Vbatt (L)</t>
  </si>
  <si>
    <t>mbatt( kg)</t>
  </si>
  <si>
    <t>Gen Set</t>
  </si>
  <si>
    <t>mgenset( kg)</t>
  </si>
  <si>
    <t>3801.63</t>
  </si>
  <si>
    <t>Pbpp [kW] (battery pack peak power)</t>
  </si>
  <si>
    <t>Pbpc[kW] (battery pack continuous power) (discharge)</t>
  </si>
  <si>
    <t>ABL-012010P</t>
  </si>
  <si>
    <t>ABL-012030P</t>
  </si>
  <si>
    <t>E4050T1</t>
  </si>
  <si>
    <t>Baterías NMC (LiNiMnCo02)</t>
  </si>
  <si>
    <t>Aegis Battery</t>
  </si>
  <si>
    <t>Corvus Energy</t>
  </si>
  <si>
    <t>AEGIS1</t>
  </si>
  <si>
    <t>AEGIS2</t>
  </si>
  <si>
    <t>Avg</t>
  </si>
  <si>
    <t>NMC</t>
  </si>
  <si>
    <t>Celdas Totales</t>
  </si>
  <si>
    <t>Weight [kg]</t>
  </si>
  <si>
    <t>Energy Density [Wh/L]</t>
  </si>
  <si>
    <t>Peak Discharge Current [A] @2s</t>
  </si>
  <si>
    <t>Baterías LTO (Li2TiO3)</t>
  </si>
  <si>
    <t>SLB12400L151</t>
  </si>
  <si>
    <t>SLB08115L140</t>
  </si>
  <si>
    <t>ELB 1500mAh LTO</t>
  </si>
  <si>
    <t>Nichicon 1</t>
  </si>
  <si>
    <t>Nichicon 2</t>
  </si>
  <si>
    <t>ECO Lithium</t>
  </si>
  <si>
    <t>Nichicon</t>
  </si>
  <si>
    <t>Eco Lotithium Battery</t>
  </si>
  <si>
    <t xml:space="preserve">LTO  </t>
  </si>
  <si>
    <t>LTO</t>
  </si>
  <si>
    <t xml:space="preserve"> Weight [kg]</t>
  </si>
  <si>
    <t>Energy Density [Wh/Kg]</t>
  </si>
  <si>
    <t>Diam [mm]</t>
  </si>
  <si>
    <t>Radio [mm]</t>
  </si>
  <si>
    <t>Height [mm]</t>
  </si>
  <si>
    <t>Baterías Ion Litio</t>
  </si>
  <si>
    <t>Porcentajes Baterías NMC (LiNiMnCo02)</t>
  </si>
  <si>
    <t>Porcentajes Baterías LTO (Li2TiO3)</t>
  </si>
  <si>
    <t>Porcentajes Baterías LFP (LiFePO4)</t>
  </si>
  <si>
    <t>Pot _ 100% [kW]</t>
  </si>
  <si>
    <t>Use Time</t>
  </si>
  <si>
    <t xml:space="preserve">Time </t>
  </si>
  <si>
    <t>Pot [%]</t>
  </si>
  <si>
    <t>Pot_nom[kW]</t>
  </si>
  <si>
    <t>Pot [kW]</t>
  </si>
  <si>
    <t>Rupanco TUG</t>
  </si>
  <si>
    <t>Gross Tonnage (L)</t>
  </si>
  <si>
    <t>Net Tonage (L)</t>
  </si>
  <si>
    <t>Deadweight (kg)</t>
  </si>
  <si>
    <t>Battery Sizing</t>
  </si>
  <si>
    <t>Total</t>
  </si>
  <si>
    <t>Energy Batt [kWh]</t>
  </si>
  <si>
    <t>E_load</t>
  </si>
  <si>
    <t>Energy Required by the load profile (kWh)</t>
  </si>
  <si>
    <t>k_aging</t>
  </si>
  <si>
    <t>Maximum allowable Depth of Discharge (%)</t>
  </si>
  <si>
    <t>DOD_max</t>
  </si>
  <si>
    <t>n_sys</t>
  </si>
  <si>
    <t>k_temp</t>
  </si>
  <si>
    <t>E_de</t>
  </si>
  <si>
    <t>C-rate</t>
  </si>
  <si>
    <t>P_batt (kW)</t>
  </si>
  <si>
    <t>k_c-rate</t>
  </si>
  <si>
    <t>Equivalent Energy Demand (kWh)</t>
  </si>
  <si>
    <t>Capacity rating factor (-)</t>
  </si>
  <si>
    <t>Temperature correction factor (-)</t>
  </si>
  <si>
    <t>System efficiency (path from the battery to propeller) (%)</t>
  </si>
  <si>
    <t>Battery Aging factor (over-sizing for end-of-life) (%)</t>
  </si>
  <si>
    <t>Factor</t>
  </si>
  <si>
    <t>E_batt_out</t>
  </si>
  <si>
    <t>E_BOL</t>
  </si>
  <si>
    <t>E_EOL</t>
  </si>
  <si>
    <t>E_final</t>
  </si>
  <si>
    <t>Nsc [-] (Number of cell in string)</t>
  </si>
  <si>
    <t>Nbp [-] (Number of cells of the battery pack)</t>
  </si>
  <si>
    <t>Vbc [m3] (volume of each cell)</t>
  </si>
  <si>
    <t>Vgenset (L)</t>
  </si>
  <si>
    <t>Life cycles [-]</t>
  </si>
  <si>
    <t>Cells [-]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</si>
</sst>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00"/>
    <numFmt numFmtId="166" formatCode="0.0000"/>
    <numFmt numFmtId="167" formatCode="0.0000000"/>
    <numFmt numFmtId="168" formatCode="0.000000"/>
    <numFmt numFmtId="169" formatCode="0.E+00"/>
  </numFmts>
  <fonts count="24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u/>
      <sz val="11"/>
      <color theme="10"/>
      <name val="Aptos Narrow"/>
    </font>
    <font>
      <sz val="11"/>
      <color theme="1"/>
      <name val="Aptos Narrow"/>
    </font>
    <font>
      <b/>
      <sz val="11"/>
      <color theme="1"/>
      <name val="Aptos Narrow"/>
    </font>
    <font>
      <sz val="11"/>
      <name val="Aptos Narrow"/>
    </font>
    <font>
      <b/>
      <sz val="12"/>
      <color theme="1"/>
      <name val="Aptos Narrow"/>
    </font>
    <font>
      <b/>
      <i/>
      <sz val="11"/>
      <color theme="1"/>
      <name val="Aptos Narrow"/>
    </font>
    <font>
      <i/>
      <sz val="11"/>
      <color theme="1"/>
      <name val="Aptos Narrow"/>
    </font>
    <font>
      <b/>
      <sz val="11"/>
      <color rgb="FF000000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14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83CAEB"/>
        <bgColor rgb="FF83CAEB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rgb="FFFFC000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10">
    <xf numFmtId="0" fontId="0" fillId="0" borderId="0" xfId="0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164" fontId="9" fillId="0" borderId="0" xfId="0" applyNumberFormat="1" applyFont="1"/>
    <xf numFmtId="0" fontId="10" fillId="0" borderId="0" xfId="0" applyFont="1" applyAlignment="1">
      <alignment horizontal="center"/>
    </xf>
    <xf numFmtId="0" fontId="9" fillId="3" borderId="4" xfId="0" applyFont="1" applyFill="1" applyBorder="1"/>
    <xf numFmtId="0" fontId="9" fillId="4" borderId="4" xfId="0" applyFont="1" applyFill="1" applyBorder="1"/>
    <xf numFmtId="2" fontId="9" fillId="3" borderId="4" xfId="0" applyNumberFormat="1" applyFont="1" applyFill="1" applyBorder="1"/>
    <xf numFmtId="2" fontId="9" fillId="0" borderId="0" xfId="0" applyNumberFormat="1" applyFont="1"/>
    <xf numFmtId="164" fontId="9" fillId="3" borderId="4" xfId="0" applyNumberFormat="1" applyFont="1" applyFill="1" applyBorder="1"/>
    <xf numFmtId="0" fontId="10" fillId="0" borderId="0" xfId="0" applyFont="1"/>
    <xf numFmtId="0" fontId="9" fillId="5" borderId="4" xfId="0" applyFont="1" applyFill="1" applyBorder="1"/>
    <xf numFmtId="1" fontId="9" fillId="5" borderId="4" xfId="0" applyNumberFormat="1" applyFont="1" applyFill="1" applyBorder="1"/>
    <xf numFmtId="0" fontId="10" fillId="5" borderId="4" xfId="0" applyFont="1" applyFill="1" applyBorder="1"/>
    <xf numFmtId="164" fontId="9" fillId="5" borderId="4" xfId="0" applyNumberFormat="1" applyFont="1" applyFill="1" applyBorder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4" fillId="0" borderId="0" xfId="0" applyNumberFormat="1" applyFont="1"/>
    <xf numFmtId="165" fontId="9" fillId="0" borderId="0" xfId="0" applyNumberFormat="1" applyFont="1" applyAlignment="1">
      <alignment horizontal="center"/>
    </xf>
    <xf numFmtId="2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" fontId="9" fillId="0" borderId="0" xfId="0" applyNumberFormat="1" applyFont="1"/>
    <xf numFmtId="2" fontId="9" fillId="0" borderId="0" xfId="0" applyNumberFormat="1" applyFont="1" applyAlignment="1">
      <alignment horizontal="center" vertical="center"/>
    </xf>
    <xf numFmtId="0" fontId="9" fillId="0" borderId="0" xfId="0" applyFont="1"/>
    <xf numFmtId="0" fontId="9" fillId="6" borderId="4" xfId="0" applyFont="1" applyFill="1" applyBorder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7" fillId="0" borderId="0" xfId="0" applyFont="1" applyAlignment="1">
      <alignment horizontal="right"/>
    </xf>
    <xf numFmtId="165" fontId="9" fillId="0" borderId="0" xfId="0" applyNumberFormat="1" applyFont="1"/>
    <xf numFmtId="166" fontId="9" fillId="0" borderId="0" xfId="0" applyNumberFormat="1" applyFont="1"/>
    <xf numFmtId="0" fontId="9" fillId="7" borderId="4" xfId="0" applyFont="1" applyFill="1" applyBorder="1"/>
    <xf numFmtId="166" fontId="9" fillId="0" borderId="0" xfId="0" applyNumberFormat="1" applyFont="1" applyAlignment="1">
      <alignment horizontal="right"/>
    </xf>
    <xf numFmtId="167" fontId="9" fillId="0" borderId="0" xfId="0" applyNumberFormat="1" applyFont="1"/>
    <xf numFmtId="0" fontId="9" fillId="0" borderId="8" xfId="0" applyFont="1" applyBorder="1"/>
    <xf numFmtId="0" fontId="10" fillId="0" borderId="8" xfId="0" applyFont="1" applyBorder="1" applyAlignment="1">
      <alignment horizontal="center"/>
    </xf>
    <xf numFmtId="0" fontId="10" fillId="0" borderId="8" xfId="0" applyFont="1" applyBorder="1"/>
    <xf numFmtId="1" fontId="9" fillId="0" borderId="8" xfId="0" applyNumberFormat="1" applyFont="1" applyBorder="1" applyAlignment="1">
      <alignment horizontal="center"/>
    </xf>
    <xf numFmtId="1" fontId="9" fillId="0" borderId="8" xfId="0" applyNumberFormat="1" applyFont="1" applyBorder="1"/>
    <xf numFmtId="2" fontId="9" fillId="0" borderId="8" xfId="0" applyNumberFormat="1" applyFont="1" applyBorder="1"/>
    <xf numFmtId="2" fontId="9" fillId="0" borderId="8" xfId="0" applyNumberFormat="1" applyFont="1" applyBorder="1" applyAlignment="1">
      <alignment horizontal="center"/>
    </xf>
    <xf numFmtId="0" fontId="6" fillId="0" borderId="0" xfId="0" applyFont="1"/>
    <xf numFmtId="0" fontId="19" fillId="0" borderId="0" xfId="0" applyFont="1" applyAlignment="1">
      <alignment horizontal="center"/>
    </xf>
    <xf numFmtId="0" fontId="21" fillId="3" borderId="4" xfId="0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1" fontId="19" fillId="0" borderId="0" xfId="0" applyNumberFormat="1" applyFont="1"/>
    <xf numFmtId="0" fontId="20" fillId="0" borderId="0" xfId="0" applyFont="1"/>
    <xf numFmtId="9" fontId="19" fillId="0" borderId="0" xfId="0" applyNumberFormat="1" applyFont="1"/>
    <xf numFmtId="2" fontId="19" fillId="0" borderId="0" xfId="0" applyNumberFormat="1" applyFont="1"/>
    <xf numFmtId="9" fontId="6" fillId="0" borderId="0" xfId="1" applyFont="1"/>
    <xf numFmtId="0" fontId="18" fillId="0" borderId="0" xfId="0" applyFont="1"/>
    <xf numFmtId="9" fontId="20" fillId="0" borderId="0" xfId="1" applyFont="1"/>
    <xf numFmtId="1" fontId="20" fillId="0" borderId="0" xfId="0" applyNumberFormat="1" applyFont="1"/>
    <xf numFmtId="9" fontId="6" fillId="0" borderId="0" xfId="0" applyNumberFormat="1" applyFont="1"/>
    <xf numFmtId="0" fontId="5" fillId="0" borderId="0" xfId="0" applyFont="1"/>
    <xf numFmtId="0" fontId="21" fillId="8" borderId="4" xfId="0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1" fontId="0" fillId="0" borderId="0" xfId="0" applyNumberFormat="1"/>
    <xf numFmtId="0" fontId="18" fillId="0" borderId="4" xfId="0" applyFont="1" applyBorder="1"/>
    <xf numFmtId="0" fontId="18" fillId="0" borderId="4" xfId="0" applyFont="1" applyBorder="1" applyAlignment="1">
      <alignment horizontal="center"/>
    </xf>
    <xf numFmtId="0" fontId="6" fillId="0" borderId="4" xfId="0" applyFont="1" applyBorder="1"/>
    <xf numFmtId="1" fontId="19" fillId="0" borderId="4" xfId="0" applyNumberFormat="1" applyFont="1" applyBorder="1"/>
    <xf numFmtId="0" fontId="0" fillId="0" borderId="4" xfId="0" applyBorder="1"/>
    <xf numFmtId="9" fontId="19" fillId="0" borderId="4" xfId="0" applyNumberFormat="1" applyFont="1" applyBorder="1"/>
    <xf numFmtId="9" fontId="19" fillId="0" borderId="4" xfId="1" applyFont="1" applyBorder="1"/>
    <xf numFmtId="0" fontId="4" fillId="0" borderId="4" xfId="0" applyFont="1" applyBorder="1" applyAlignment="1">
      <alignment horizontal="left"/>
    </xf>
    <xf numFmtId="1" fontId="0" fillId="0" borderId="4" xfId="0" applyNumberFormat="1" applyBorder="1"/>
    <xf numFmtId="9" fontId="0" fillId="0" borderId="4" xfId="1" applyFont="1" applyBorder="1"/>
    <xf numFmtId="0" fontId="22" fillId="0" borderId="0" xfId="0" applyFont="1"/>
    <xf numFmtId="0" fontId="21" fillId="0" borderId="4" xfId="0" applyFont="1" applyBorder="1" applyAlignment="1">
      <alignment horizontal="center"/>
    </xf>
    <xf numFmtId="0" fontId="3" fillId="0" borderId="0" xfId="0" applyFont="1"/>
    <xf numFmtId="0" fontId="6" fillId="0" borderId="0" xfId="0" applyFont="1" applyAlignment="1">
      <alignment horizontal="center"/>
    </xf>
    <xf numFmtId="0" fontId="21" fillId="8" borderId="0" xfId="0" applyFont="1" applyFill="1" applyAlignment="1">
      <alignment horizontal="center"/>
    </xf>
    <xf numFmtId="0" fontId="20" fillId="9" borderId="0" xfId="0" applyFont="1" applyFill="1" applyAlignment="1">
      <alignment horizontal="center"/>
    </xf>
    <xf numFmtId="0" fontId="20" fillId="10" borderId="0" xfId="0" applyFont="1" applyFill="1" applyAlignment="1">
      <alignment horizontal="center"/>
    </xf>
    <xf numFmtId="0" fontId="20" fillId="11" borderId="0" xfId="0" applyFont="1" applyFill="1" applyAlignment="1">
      <alignment horizontal="center"/>
    </xf>
    <xf numFmtId="0" fontId="20" fillId="9" borderId="4" xfId="0" applyFont="1" applyFill="1" applyBorder="1" applyAlignment="1">
      <alignment horizontal="center"/>
    </xf>
    <xf numFmtId="2" fontId="0" fillId="0" borderId="0" xfId="0" applyNumberFormat="1"/>
    <xf numFmtId="0" fontId="2" fillId="0" borderId="0" xfId="0" applyFont="1"/>
    <xf numFmtId="0" fontId="1" fillId="0" borderId="0" xfId="0" applyFont="1"/>
    <xf numFmtId="0" fontId="23" fillId="8" borderId="0" xfId="0" applyFont="1" applyFill="1"/>
    <xf numFmtId="0" fontId="21" fillId="12" borderId="4" xfId="0" applyFont="1" applyFill="1" applyBorder="1"/>
    <xf numFmtId="0" fontId="21" fillId="3" borderId="4" xfId="0" applyFont="1" applyFill="1" applyBorder="1"/>
    <xf numFmtId="0" fontId="9" fillId="0" borderId="4" xfId="0" applyFont="1" applyBorder="1"/>
    <xf numFmtId="2" fontId="9" fillId="0" borderId="4" xfId="0" applyNumberFormat="1" applyFont="1" applyBorder="1"/>
    <xf numFmtId="168" fontId="7" fillId="0" borderId="0" xfId="0" applyNumberFormat="1" applyFont="1"/>
    <xf numFmtId="0" fontId="7" fillId="13" borderId="0" xfId="0" applyFont="1" applyFill="1"/>
    <xf numFmtId="0" fontId="20" fillId="0" borderId="0" xfId="0" applyFont="1" applyAlignment="1">
      <alignment horizontal="center"/>
    </xf>
    <xf numFmtId="0" fontId="19" fillId="5" borderId="4" xfId="0" applyFont="1" applyFill="1" applyBorder="1"/>
    <xf numFmtId="1" fontId="9" fillId="8" borderId="8" xfId="0" applyNumberFormat="1" applyFont="1" applyFill="1" applyBorder="1" applyAlignment="1">
      <alignment horizontal="center"/>
    </xf>
    <xf numFmtId="0" fontId="9" fillId="8" borderId="8" xfId="0" applyFont="1" applyFill="1" applyBorder="1"/>
    <xf numFmtId="1" fontId="9" fillId="8" borderId="8" xfId="0" applyNumberFormat="1" applyFont="1" applyFill="1" applyBorder="1"/>
    <xf numFmtId="0" fontId="12" fillId="0" borderId="0" xfId="0" applyFont="1"/>
    <xf numFmtId="169" fontId="7" fillId="0" borderId="0" xfId="0" applyNumberFormat="1" applyFont="1"/>
    <xf numFmtId="0" fontId="2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0" borderId="0" xfId="0"/>
    <xf numFmtId="0" fontId="10" fillId="2" borderId="1" xfId="0" applyFont="1" applyFill="1" applyBorder="1" applyAlignment="1">
      <alignment horizontal="center"/>
    </xf>
    <xf numFmtId="0" fontId="11" fillId="0" borderId="2" xfId="0" applyFont="1" applyBorder="1"/>
    <xf numFmtId="0" fontId="11" fillId="0" borderId="3" xfId="0" applyFont="1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419" sz="1400" b="0" i="0">
                <a:solidFill>
                  <a:srgbClr val="757575"/>
                </a:solidFill>
                <a:latin typeface="+mn-lt"/>
              </a:rPr>
              <a:t>DOD/SOC vs Cantidad de Baterias Banco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DOD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Batt3!$K$7:$K$18</c:f>
              <c:numCache>
                <c:formatCode>General</c:formatCode>
                <c:ptCount val="12"/>
                <c:pt idx="0">
                  <c:v>20</c:v>
                </c:pt>
                <c:pt idx="1">
                  <c:v>24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40</c:v>
                </c:pt>
                <c:pt idx="6">
                  <c:v>44</c:v>
                </c:pt>
                <c:pt idx="7">
                  <c:v>48</c:v>
                </c:pt>
                <c:pt idx="8">
                  <c:v>52</c:v>
                </c:pt>
                <c:pt idx="9">
                  <c:v>56</c:v>
                </c:pt>
                <c:pt idx="10">
                  <c:v>60</c:v>
                </c:pt>
                <c:pt idx="11">
                  <c:v>64</c:v>
                </c:pt>
              </c:numCache>
            </c:numRef>
          </c:xVal>
          <c:yVal>
            <c:numRef>
              <c:f>Batt3!$L$7:$L$18</c:f>
              <c:numCache>
                <c:formatCode>General</c:formatCode>
                <c:ptCount val="12"/>
                <c:pt idx="0">
                  <c:v>0.93</c:v>
                </c:pt>
                <c:pt idx="1">
                  <c:v>0.78</c:v>
                </c:pt>
                <c:pt idx="2">
                  <c:v>0.66</c:v>
                </c:pt>
                <c:pt idx="3">
                  <c:v>0.57999999999999996</c:v>
                </c:pt>
                <c:pt idx="4">
                  <c:v>0.52</c:v>
                </c:pt>
                <c:pt idx="5">
                  <c:v>0.47</c:v>
                </c:pt>
                <c:pt idx="6">
                  <c:v>0.42</c:v>
                </c:pt>
                <c:pt idx="7">
                  <c:v>0.39</c:v>
                </c:pt>
                <c:pt idx="8">
                  <c:v>0.36</c:v>
                </c:pt>
                <c:pt idx="9">
                  <c:v>0.33</c:v>
                </c:pt>
                <c:pt idx="10">
                  <c:v>0.31</c:v>
                </c:pt>
                <c:pt idx="11">
                  <c:v>0.28999999999999998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31-4B5C-8EEA-A1824EED75C4}"/>
            </c:ext>
          </c:extLst>
        </c:ser>
        <c:ser>
          <c:idx val="1"/>
          <c:order val="1"/>
          <c:tx>
            <c:v>SOC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Batt3!$K$7:$K$18</c:f>
              <c:numCache>
                <c:formatCode>General</c:formatCode>
                <c:ptCount val="12"/>
                <c:pt idx="0">
                  <c:v>20</c:v>
                </c:pt>
                <c:pt idx="1">
                  <c:v>24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40</c:v>
                </c:pt>
                <c:pt idx="6">
                  <c:v>44</c:v>
                </c:pt>
                <c:pt idx="7">
                  <c:v>48</c:v>
                </c:pt>
                <c:pt idx="8">
                  <c:v>52</c:v>
                </c:pt>
                <c:pt idx="9">
                  <c:v>56</c:v>
                </c:pt>
                <c:pt idx="10">
                  <c:v>60</c:v>
                </c:pt>
                <c:pt idx="11">
                  <c:v>64</c:v>
                </c:pt>
              </c:numCache>
            </c:numRef>
          </c:xVal>
          <c:yVal>
            <c:numRef>
              <c:f>Batt3!$M$7:$M$18</c:f>
              <c:numCache>
                <c:formatCode>General</c:formatCode>
                <c:ptCount val="12"/>
                <c:pt idx="0">
                  <c:v>6.9999999999999951E-2</c:v>
                </c:pt>
                <c:pt idx="1">
                  <c:v>0.21999999999999997</c:v>
                </c:pt>
                <c:pt idx="2">
                  <c:v>0.33999999999999997</c:v>
                </c:pt>
                <c:pt idx="3">
                  <c:v>0.42000000000000004</c:v>
                </c:pt>
                <c:pt idx="4">
                  <c:v>0.48</c:v>
                </c:pt>
                <c:pt idx="5">
                  <c:v>0.53</c:v>
                </c:pt>
                <c:pt idx="6">
                  <c:v>0.58000000000000007</c:v>
                </c:pt>
                <c:pt idx="7">
                  <c:v>0.61</c:v>
                </c:pt>
                <c:pt idx="8">
                  <c:v>0.64</c:v>
                </c:pt>
                <c:pt idx="9">
                  <c:v>0.66999999999999993</c:v>
                </c:pt>
                <c:pt idx="10">
                  <c:v>0.69</c:v>
                </c:pt>
                <c:pt idx="11">
                  <c:v>0.71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C31-4B5C-8EEA-A1824EED7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5472657"/>
        <c:axId val="690261372"/>
      </c:scatterChart>
      <c:valAx>
        <c:axId val="9854726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690261372"/>
        <c:crosses val="autoZero"/>
        <c:crossBetween val="midCat"/>
      </c:valAx>
      <c:valAx>
        <c:axId val="6902613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985472657"/>
        <c:crosses val="autoZero"/>
        <c:crossBetween val="midCat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419" sz="1400" b="0" i="0">
                <a:solidFill>
                  <a:srgbClr val="757575"/>
                </a:solidFill>
                <a:latin typeface="+mn-lt"/>
              </a:rPr>
              <a:t>Peso del banco [kg] vs Cantidad de Baterías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Peso B_Bank [kg]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Batt3!$K$23:$K$34</c:f>
              <c:numCache>
                <c:formatCode>General</c:formatCode>
                <c:ptCount val="12"/>
                <c:pt idx="0">
                  <c:v>20</c:v>
                </c:pt>
                <c:pt idx="1">
                  <c:v>24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40</c:v>
                </c:pt>
                <c:pt idx="6">
                  <c:v>44</c:v>
                </c:pt>
                <c:pt idx="7">
                  <c:v>48</c:v>
                </c:pt>
                <c:pt idx="8">
                  <c:v>52</c:v>
                </c:pt>
                <c:pt idx="9">
                  <c:v>56</c:v>
                </c:pt>
                <c:pt idx="10">
                  <c:v>60</c:v>
                </c:pt>
                <c:pt idx="11">
                  <c:v>64</c:v>
                </c:pt>
              </c:numCache>
            </c:numRef>
          </c:xVal>
          <c:yVal>
            <c:numRef>
              <c:f>Batt3!$L$23:$L$34</c:f>
              <c:numCache>
                <c:formatCode>General</c:formatCode>
                <c:ptCount val="12"/>
                <c:pt idx="0">
                  <c:v>2100</c:v>
                </c:pt>
                <c:pt idx="1">
                  <c:v>2520</c:v>
                </c:pt>
                <c:pt idx="2">
                  <c:v>2940</c:v>
                </c:pt>
                <c:pt idx="3">
                  <c:v>3360</c:v>
                </c:pt>
                <c:pt idx="4">
                  <c:v>3780</c:v>
                </c:pt>
                <c:pt idx="5">
                  <c:v>4200</c:v>
                </c:pt>
                <c:pt idx="6">
                  <c:v>4620</c:v>
                </c:pt>
                <c:pt idx="7">
                  <c:v>5040</c:v>
                </c:pt>
                <c:pt idx="8">
                  <c:v>5460</c:v>
                </c:pt>
                <c:pt idx="9">
                  <c:v>5880</c:v>
                </c:pt>
                <c:pt idx="10">
                  <c:v>6300</c:v>
                </c:pt>
                <c:pt idx="11">
                  <c:v>6720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EF9-42E8-A5CC-38514BB0F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295063"/>
        <c:axId val="2024321257"/>
      </c:scatterChart>
      <c:valAx>
        <c:axId val="203529506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024321257"/>
        <c:crosses val="autoZero"/>
        <c:crossBetween val="midCat"/>
      </c:valAx>
      <c:valAx>
        <c:axId val="20243212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203529506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419" sz="1400" b="0" i="0">
                <a:solidFill>
                  <a:srgbClr val="757575"/>
                </a:solidFill>
                <a:latin typeface="+mn-lt"/>
              </a:rPr>
              <a:t>Volumen [cm3] vs Cantidad de Baterías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Vol [cm3]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Batt3!$K$23:$K$34</c:f>
              <c:numCache>
                <c:formatCode>General</c:formatCode>
                <c:ptCount val="12"/>
                <c:pt idx="0">
                  <c:v>20</c:v>
                </c:pt>
                <c:pt idx="1">
                  <c:v>24</c:v>
                </c:pt>
                <c:pt idx="2">
                  <c:v>28</c:v>
                </c:pt>
                <c:pt idx="3">
                  <c:v>32</c:v>
                </c:pt>
                <c:pt idx="4">
                  <c:v>36</c:v>
                </c:pt>
                <c:pt idx="5">
                  <c:v>40</c:v>
                </c:pt>
                <c:pt idx="6">
                  <c:v>44</c:v>
                </c:pt>
                <c:pt idx="7">
                  <c:v>48</c:v>
                </c:pt>
                <c:pt idx="8">
                  <c:v>52</c:v>
                </c:pt>
                <c:pt idx="9">
                  <c:v>56</c:v>
                </c:pt>
                <c:pt idx="10">
                  <c:v>60</c:v>
                </c:pt>
                <c:pt idx="11">
                  <c:v>64</c:v>
                </c:pt>
              </c:numCache>
            </c:numRef>
          </c:xVal>
          <c:yVal>
            <c:numRef>
              <c:f>Batt3!$M$23:$M$34</c:f>
              <c:numCache>
                <c:formatCode>General</c:formatCode>
                <c:ptCount val="12"/>
                <c:pt idx="0">
                  <c:v>2493375</c:v>
                </c:pt>
                <c:pt idx="1">
                  <c:v>2992050</c:v>
                </c:pt>
                <c:pt idx="2">
                  <c:v>3490725</c:v>
                </c:pt>
                <c:pt idx="3">
                  <c:v>3989400</c:v>
                </c:pt>
                <c:pt idx="4">
                  <c:v>4488075</c:v>
                </c:pt>
                <c:pt idx="5">
                  <c:v>4986750</c:v>
                </c:pt>
                <c:pt idx="6">
                  <c:v>5485425</c:v>
                </c:pt>
                <c:pt idx="7">
                  <c:v>5984100</c:v>
                </c:pt>
                <c:pt idx="8">
                  <c:v>6482775</c:v>
                </c:pt>
                <c:pt idx="9">
                  <c:v>6981450</c:v>
                </c:pt>
                <c:pt idx="10">
                  <c:v>7480125</c:v>
                </c:pt>
                <c:pt idx="11">
                  <c:v>7978800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B3-4AAC-A3BF-2A71B18EA9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300415"/>
        <c:axId val="714174603"/>
      </c:scatterChart>
      <c:valAx>
        <c:axId val="5093004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714174603"/>
        <c:crosses val="autoZero"/>
        <c:crossBetween val="midCat"/>
      </c:valAx>
      <c:valAx>
        <c:axId val="7141746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50930041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col"/>
        <c:grouping val="stacked"/>
        <c:varyColors val="1"/>
        <c:ser>
          <c:idx val="0"/>
          <c:order val="0"/>
          <c:tx>
            <c:v>Power Peak [kW]</c:v>
          </c:tx>
          <c:spPr>
            <a:solidFill>
              <a:srgbClr val="156082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LFP!$P$3:$R$3</c:f>
              <c:numCache>
                <c:formatCode>General</c:formatCode>
                <c:ptCount val="3"/>
              </c:numCache>
            </c:numRef>
          </c:cat>
          <c:val>
            <c:numRef>
              <c:f>LFP!$P$8:$R$8</c:f>
              <c:numCache>
                <c:formatCode>General</c:formatCode>
                <c:ptCount val="3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09-4346-A989-1244F3326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54216653"/>
        <c:axId val="1769403845"/>
      </c:barChart>
      <c:catAx>
        <c:axId val="105421665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769403845"/>
        <c:crosses val="autoZero"/>
        <c:auto val="1"/>
        <c:lblAlgn val="ctr"/>
        <c:lblOffset val="100"/>
        <c:noMultiLvlLbl val="1"/>
      </c:catAx>
      <c:valAx>
        <c:axId val="1769403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05421665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s-419" sz="1400" b="0" i="0">
                <a:solidFill>
                  <a:srgbClr val="757575"/>
                </a:solidFill>
                <a:latin typeface="+mn-lt"/>
              </a:rPr>
              <a:t>Baterías NMC (LiNiMnCo02)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strRef>
              <c:f>Radar_Plot!$D$14</c:f>
              <c:strCache>
                <c:ptCount val="1"/>
                <c:pt idx="0">
                  <c:v>AEGIS1</c:v>
                </c:pt>
              </c:strCache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Radar_Plot!$C$15:$C$19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Radar_Plot!$D$15:$D$19</c:f>
              <c:numCache>
                <c:formatCode>0</c:formatCode>
                <c:ptCount val="5"/>
                <c:pt idx="0" formatCode="0.00">
                  <c:v>0.5</c:v>
                </c:pt>
                <c:pt idx="1">
                  <c:v>1</c:v>
                </c:pt>
                <c:pt idx="2">
                  <c:v>1</c:v>
                </c:pt>
                <c:pt idx="3" formatCode="0.00">
                  <c:v>0.40744776332236643</c:v>
                </c:pt>
                <c:pt idx="4" formatCode="0.00">
                  <c:v>0.49865591397849462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3-436F-AA18-6303A4807B0E}"/>
            </c:ext>
          </c:extLst>
        </c:ser>
        <c:ser>
          <c:idx val="1"/>
          <c:order val="1"/>
          <c:tx>
            <c:strRef>
              <c:f>Radar_Plot!$E$14</c:f>
              <c:strCache>
                <c:ptCount val="1"/>
                <c:pt idx="0">
                  <c:v>AEGIS2</c:v>
                </c:pt>
              </c:strCache>
            </c:strRef>
          </c:tx>
          <c:spPr>
            <a:ln cmpd="sng">
              <a:solidFill>
                <a:srgbClr val="E97132"/>
              </a:solidFill>
            </a:ln>
          </c:spPr>
          <c:marker>
            <c:symbol val="none"/>
          </c:marker>
          <c:cat>
            <c:strRef>
              <c:f>Radar_Plot!$C$15:$C$19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Radar_Plot!$E$15:$E$19</c:f>
              <c:numCache>
                <c:formatCode>0.00</c:formatCode>
                <c:ptCount val="5"/>
                <c:pt idx="0">
                  <c:v>0.5</c:v>
                </c:pt>
                <c:pt idx="1">
                  <c:v>0.33423180592991913</c:v>
                </c:pt>
                <c:pt idx="2">
                  <c:v>0.87735849056603765</c:v>
                </c:pt>
                <c:pt idx="3">
                  <c:v>0.31321860404188384</c:v>
                </c:pt>
                <c:pt idx="4" formatCode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53-436F-AA18-6303A4807B0E}"/>
            </c:ext>
          </c:extLst>
        </c:ser>
        <c:ser>
          <c:idx val="2"/>
          <c:order val="2"/>
          <c:tx>
            <c:strRef>
              <c:f>Radar_Plot!$F$14</c:f>
              <c:strCache>
                <c:ptCount val="1"/>
                <c:pt idx="0">
                  <c:v>Corvus Energy</c:v>
                </c:pt>
              </c:strCache>
            </c:strRef>
          </c:tx>
          <c:spPr>
            <a:ln cmpd="sng">
              <a:solidFill>
                <a:srgbClr val="196B24"/>
              </a:solidFill>
            </a:ln>
          </c:spPr>
          <c:marker>
            <c:symbol val="none"/>
          </c:marker>
          <c:cat>
            <c:strRef>
              <c:f>Radar_Plot!$C$15:$C$19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Radar_Plot!$F$15:$F$19</c:f>
              <c:numCache>
                <c:formatCode>0.00</c:formatCode>
                <c:ptCount val="5"/>
                <c:pt idx="0" formatCode="0">
                  <c:v>1</c:v>
                </c:pt>
                <c:pt idx="1">
                  <c:v>0.28237710178410985</c:v>
                </c:pt>
                <c:pt idx="2">
                  <c:v>0.16808924827792751</c:v>
                </c:pt>
                <c:pt idx="3" formatCode="0">
                  <c:v>1</c:v>
                </c:pt>
                <c:pt idx="4">
                  <c:v>0.86021505376344087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53-436F-AA18-6303A4807B0E}"/>
            </c:ext>
          </c:extLst>
        </c:ser>
        <c:ser>
          <c:idx val="3"/>
          <c:order val="3"/>
          <c:tx>
            <c:strRef>
              <c:f>Radar_Plot!$G$14</c:f>
              <c:strCache>
                <c:ptCount val="1"/>
                <c:pt idx="0">
                  <c:v>NMC</c:v>
                </c:pt>
              </c:strCache>
            </c:strRef>
          </c:tx>
          <c:spPr>
            <a:ln cmpd="sng">
              <a:solidFill>
                <a:srgbClr val="0F9ED5"/>
              </a:solidFill>
            </a:ln>
          </c:spPr>
          <c:marker>
            <c:symbol val="none"/>
          </c:marker>
          <c:cat>
            <c:strRef>
              <c:f>Radar_Plot!$C$15:$C$19</c:f>
              <c:strCache>
                <c:ptCount val="5"/>
                <c:pt idx="0">
                  <c:v>Ciclos de Vida</c:v>
                </c:pt>
                <c:pt idx="1">
                  <c:v>Celdas Totales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Radar_Plot!$G$15:$G$19</c:f>
              <c:numCache>
                <c:formatCode>0.00</c:formatCode>
                <c:ptCount val="5"/>
                <c:pt idx="0">
                  <c:v>0.66666666666666663</c:v>
                </c:pt>
                <c:pt idx="1">
                  <c:v>0.53886963590467629</c:v>
                </c:pt>
                <c:pt idx="2">
                  <c:v>0.68181591294798849</c:v>
                </c:pt>
                <c:pt idx="3">
                  <c:v>0.57355545578808342</c:v>
                </c:pt>
                <c:pt idx="4">
                  <c:v>0.78629032258064513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53-436F-AA18-6303A4807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261141"/>
        <c:axId val="1689731577"/>
      </c:radarChart>
      <c:catAx>
        <c:axId val="15192611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689731577"/>
        <c:crosses val="autoZero"/>
        <c:auto val="1"/>
        <c:lblAlgn val="ctr"/>
        <c:lblOffset val="100"/>
        <c:noMultiLvlLbl val="1"/>
      </c:catAx>
      <c:valAx>
        <c:axId val="16897315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s-419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s-419"/>
          </a:p>
        </c:txPr>
        <c:crossAx val="1519261141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1600" b="0" i="0">
              <a:solidFill>
                <a:srgbClr val="1A1A1A"/>
              </a:solidFill>
              <a:latin typeface="+mn-lt"/>
            </a:defRPr>
          </a:pPr>
          <a:endParaRPr lang="es-419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Radar_Plot!$AB$14</c:f>
              <c:strCache>
                <c:ptCount val="1"/>
                <c:pt idx="0">
                  <c:v>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Radar_Plot!$AA$15:$AA$19</c:f>
              <c:strCache>
                <c:ptCount val="5"/>
                <c:pt idx="0">
                  <c:v>Life cycles [-]</c:v>
                </c:pt>
                <c:pt idx="1">
                  <c:v>Cells [-]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Radar_Plot!$AB$15:$AB$19</c:f>
              <c:numCache>
                <c:formatCode>0.00</c:formatCode>
                <c:ptCount val="5"/>
                <c:pt idx="0">
                  <c:v>9.9999999999999992E-2</c:v>
                </c:pt>
                <c:pt idx="1">
                  <c:v>4.1120078508279995E-4</c:v>
                </c:pt>
                <c:pt idx="2">
                  <c:v>4.5759946829302622E-2</c:v>
                </c:pt>
                <c:pt idx="3">
                  <c:v>0.13488760186380885</c:v>
                </c:pt>
                <c:pt idx="4">
                  <c:v>0.59491525423728808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3B-497B-8118-660AB2DF8D3F}"/>
            </c:ext>
          </c:extLst>
        </c:ser>
        <c:ser>
          <c:idx val="1"/>
          <c:order val="1"/>
          <c:tx>
            <c:strRef>
              <c:f>Radar_Plot!$AC$14</c:f>
              <c:strCache>
                <c:ptCount val="1"/>
                <c:pt idx="0">
                  <c:v>LFP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Radar_Plot!$AA$15:$AA$19</c:f>
              <c:strCache>
                <c:ptCount val="5"/>
                <c:pt idx="0">
                  <c:v>Life cycles [-]</c:v>
                </c:pt>
                <c:pt idx="1">
                  <c:v>Cells [-]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Radar_Plot!$AC$15:$AC$19</c:f>
              <c:numCache>
                <c:formatCode>0.00</c:formatCode>
                <c:ptCount val="5"/>
                <c:pt idx="0">
                  <c:v>0.1875</c:v>
                </c:pt>
                <c:pt idx="1">
                  <c:v>3.7866167307016083E-4</c:v>
                </c:pt>
                <c:pt idx="2">
                  <c:v>0.10060844751958715</c:v>
                </c:pt>
                <c:pt idx="3">
                  <c:v>0.19048405762810935</c:v>
                </c:pt>
                <c:pt idx="4" formatCode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3B-497B-8118-660AB2DF8D3F}"/>
            </c:ext>
          </c:extLst>
        </c:ser>
        <c:ser>
          <c:idx val="2"/>
          <c:order val="2"/>
          <c:tx>
            <c:strRef>
              <c:f>Radar_Plot!$AD$14</c:f>
              <c:strCache>
                <c:ptCount val="1"/>
                <c:pt idx="0">
                  <c:v>LTO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Radar_Plot!$AA$15:$AA$19</c:f>
              <c:strCache>
                <c:ptCount val="5"/>
                <c:pt idx="0">
                  <c:v>Life cycles [-]</c:v>
                </c:pt>
                <c:pt idx="1">
                  <c:v>Cells [-]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Radar_Plot!$AD$15:$AD$19</c:f>
              <c:numCache>
                <c:formatCode>0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 formatCode="0.00">
                  <c:v>0.62099572881355936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83B-497B-8118-660AB2DF8D3F}"/>
            </c:ext>
          </c:extLst>
        </c:ser>
        <c:ser>
          <c:idx val="3"/>
          <c:order val="3"/>
          <c:tx>
            <c:strRef>
              <c:f>Radar_Plot!$AE$14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Radar_Plot!$AA$15:$AA$19</c:f>
              <c:strCache>
                <c:ptCount val="5"/>
                <c:pt idx="0">
                  <c:v>Life cycles [-]</c:v>
                </c:pt>
                <c:pt idx="1">
                  <c:v>Cells [-]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Radar_Plot!$AE$15:$AE$19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3-183B-497B-8118-660AB2DF8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6989792"/>
        <c:axId val="646979712"/>
      </c:radarChart>
      <c:catAx>
        <c:axId val="646989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46979712"/>
        <c:crosses val="autoZero"/>
        <c:auto val="1"/>
        <c:lblAlgn val="ctr"/>
        <c:lblOffset val="100"/>
        <c:noMultiLvlLbl val="0"/>
      </c:catAx>
      <c:valAx>
        <c:axId val="646979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46989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Radar_Plot!$AH$14</c:f>
              <c:strCache>
                <c:ptCount val="1"/>
                <c:pt idx="0">
                  <c:v>NMC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Radar_Plot!$AG$15:$AG$19</c:f>
              <c:strCache>
                <c:ptCount val="5"/>
                <c:pt idx="0">
                  <c:v>Life cycles [-]</c:v>
                </c:pt>
                <c:pt idx="1">
                  <c:v>Cells [-]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Radar_Plot!$AH$15:$AH$19</c:f>
              <c:numCache>
                <c:formatCode>0</c:formatCode>
                <c:ptCount val="5"/>
                <c:pt idx="0" formatCode="0.00">
                  <c:v>0.53333333333333333</c:v>
                </c:pt>
                <c:pt idx="1">
                  <c:v>1</c:v>
                </c:pt>
                <c:pt idx="2" formatCode="0.00">
                  <c:v>0.45483205394252563</c:v>
                </c:pt>
                <c:pt idx="3" formatCode="0.00">
                  <c:v>0.70813066218463283</c:v>
                </c:pt>
                <c:pt idx="4" formatCode="0.00">
                  <c:v>0.59491525423728808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21-4B86-928F-BA6F65FF3B69}"/>
            </c:ext>
          </c:extLst>
        </c:ser>
        <c:ser>
          <c:idx val="1"/>
          <c:order val="1"/>
          <c:tx>
            <c:strRef>
              <c:f>Radar_Plot!$AI$14</c:f>
              <c:strCache>
                <c:ptCount val="1"/>
                <c:pt idx="0">
                  <c:v>LFP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Radar_Plot!$AG$15:$AG$19</c:f>
              <c:strCache>
                <c:ptCount val="5"/>
                <c:pt idx="0">
                  <c:v>Life cycles [-]</c:v>
                </c:pt>
                <c:pt idx="1">
                  <c:v>Cells [-]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Radar_Plot!$AI$15:$AI$19</c:f>
              <c:numCache>
                <c:formatCode>0.00</c:formatCode>
                <c:ptCount val="5"/>
                <c:pt idx="0" formatCode="0">
                  <c:v>1</c:v>
                </c:pt>
                <c:pt idx="1">
                  <c:v>0.92086806933968512</c:v>
                </c:pt>
                <c:pt idx="2" formatCode="0">
                  <c:v>1</c:v>
                </c:pt>
                <c:pt idx="3" formatCode="0">
                  <c:v>1</c:v>
                </c:pt>
                <c:pt idx="4" formatCode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21-4B86-928F-BA6F65FF3B69}"/>
            </c:ext>
          </c:extLst>
        </c:ser>
        <c:ser>
          <c:idx val="2"/>
          <c:order val="2"/>
          <c:tx>
            <c:strRef>
              <c:f>Radar_Plot!$AJ$14</c:f>
              <c:strCache>
                <c:ptCount val="1"/>
                <c:pt idx="0">
                  <c:v>Avg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Radar_Plot!$AG$15:$AG$19</c:f>
              <c:strCache>
                <c:ptCount val="5"/>
                <c:pt idx="0">
                  <c:v>Life cycles [-]</c:v>
                </c:pt>
                <c:pt idx="1">
                  <c:v>Cells [-]</c:v>
                </c:pt>
                <c:pt idx="2">
                  <c:v>Weight [kg]</c:v>
                </c:pt>
                <c:pt idx="3">
                  <c:v>Volume [m3]</c:v>
                </c:pt>
                <c:pt idx="4">
                  <c:v>Power Discharge [kW]</c:v>
                </c:pt>
              </c:strCache>
            </c:strRef>
          </c:cat>
          <c:val>
            <c:numRef>
              <c:f>Radar_Plot!$AJ$15:$AJ$19</c:f>
              <c:numCache>
                <c:formatCode>0.00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2-7621-4B86-928F-BA6F65FF3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3390224"/>
        <c:axId val="683389264"/>
      </c:radarChart>
      <c:catAx>
        <c:axId val="683390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83389264"/>
        <c:crosses val="autoZero"/>
        <c:auto val="1"/>
        <c:lblAlgn val="ctr"/>
        <c:lblOffset val="100"/>
        <c:noMultiLvlLbl val="0"/>
      </c:catAx>
      <c:valAx>
        <c:axId val="683389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419"/>
          </a:p>
        </c:txPr>
        <c:crossAx val="683390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419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419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314325</xdr:colOff>
      <xdr:row>4</xdr:row>
      <xdr:rowOff>161925</xdr:rowOff>
    </xdr:from>
    <xdr:ext cx="5200650" cy="2886075"/>
    <xdr:graphicFrame macro="">
      <xdr:nvGraphicFramePr>
        <xdr:cNvPr id="2129521044" name="Chart 1">
          <a:extLst>
            <a:ext uri="{FF2B5EF4-FFF2-40B4-BE49-F238E27FC236}">
              <a16:creationId xmlns:a16="http://schemas.microsoft.com/office/drawing/2014/main" id="{00000000-0008-0000-0200-000094E9ED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752475</xdr:colOff>
      <xdr:row>20</xdr:row>
      <xdr:rowOff>171450</xdr:rowOff>
    </xdr:from>
    <xdr:ext cx="5200650" cy="2886075"/>
    <xdr:graphicFrame macro="">
      <xdr:nvGraphicFramePr>
        <xdr:cNvPr id="1556393634" name="Chart 2">
          <a:extLst>
            <a:ext uri="{FF2B5EF4-FFF2-40B4-BE49-F238E27FC236}">
              <a16:creationId xmlns:a16="http://schemas.microsoft.com/office/drawing/2014/main" id="{00000000-0008-0000-0200-0000A2AEC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13</xdr:col>
      <xdr:colOff>733425</xdr:colOff>
      <xdr:row>37</xdr:row>
      <xdr:rowOff>28575</xdr:rowOff>
    </xdr:from>
    <xdr:ext cx="5200650" cy="2876550"/>
    <xdr:graphicFrame macro="">
      <xdr:nvGraphicFramePr>
        <xdr:cNvPr id="605481578" name="Chart 3">
          <a:extLst>
            <a:ext uri="{FF2B5EF4-FFF2-40B4-BE49-F238E27FC236}">
              <a16:creationId xmlns:a16="http://schemas.microsoft.com/office/drawing/2014/main" id="{00000000-0008-0000-0200-00006AEA1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733425</xdr:colOff>
      <xdr:row>48</xdr:row>
      <xdr:rowOff>0</xdr:rowOff>
    </xdr:from>
    <xdr:ext cx="5553075" cy="2876550"/>
    <xdr:graphicFrame macro="">
      <xdr:nvGraphicFramePr>
        <xdr:cNvPr id="774212368" name="Chart 9">
          <a:extLst>
            <a:ext uri="{FF2B5EF4-FFF2-40B4-BE49-F238E27FC236}">
              <a16:creationId xmlns:a16="http://schemas.microsoft.com/office/drawing/2014/main" id="{00000000-0008-0000-0300-0000108B25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733425</xdr:colOff>
      <xdr:row>19</xdr:row>
      <xdr:rowOff>180975</xdr:rowOff>
    </xdr:from>
    <xdr:ext cx="6772275" cy="4019550"/>
    <xdr:graphicFrame macro="">
      <xdr:nvGraphicFramePr>
        <xdr:cNvPr id="1028814479" name="Chart 16">
          <a:extLst>
            <a:ext uri="{FF2B5EF4-FFF2-40B4-BE49-F238E27FC236}">
              <a16:creationId xmlns:a16="http://schemas.microsoft.com/office/drawing/2014/main" id="{00000000-0008-0000-0600-00008F765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25</xdr:col>
      <xdr:colOff>508000</xdr:colOff>
      <xdr:row>19</xdr:row>
      <xdr:rowOff>140493</xdr:rowOff>
    </xdr:from>
    <xdr:to>
      <xdr:col>30</xdr:col>
      <xdr:colOff>881062</xdr:colOff>
      <xdr:row>33</xdr:row>
      <xdr:rowOff>113505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AC20F11-EFA8-4DE0-9312-EA0FA3CF68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674687</xdr:colOff>
      <xdr:row>20</xdr:row>
      <xdr:rowOff>21431</xdr:rowOff>
    </xdr:from>
    <xdr:to>
      <xdr:col>36</xdr:col>
      <xdr:colOff>809625</xdr:colOff>
      <xdr:row>33</xdr:row>
      <xdr:rowOff>184943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D38E795-09E6-EDED-2F46-0D0E0913E9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hyperlink" Target="https://www.polinovelbattery.com/High-Efficiency-48V-210Ah-LiFePO4-Forklift-Battery-pd44900400.html" TargetMode="Externa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6F58-999A-49F8-9434-550682CD0993}">
  <dimension ref="A5:N59"/>
  <sheetViews>
    <sheetView topLeftCell="A4" workbookViewId="0">
      <selection activeCell="G9" sqref="G9"/>
    </sheetView>
  </sheetViews>
  <sheetFormatPr baseColWidth="10" defaultRowHeight="15"/>
  <cols>
    <col min="1" max="1" width="14.42578125" bestFit="1" customWidth="1"/>
    <col min="5" max="5" width="12.5703125" bestFit="1" customWidth="1"/>
    <col min="6" max="6" width="16.140625" bestFit="1" customWidth="1"/>
    <col min="8" max="9" width="12.5703125" bestFit="1" customWidth="1"/>
    <col min="10" max="10" width="12" bestFit="1" customWidth="1"/>
    <col min="11" max="11" width="12.140625" bestFit="1" customWidth="1"/>
    <col min="12" max="12" width="18.7109375" bestFit="1" customWidth="1"/>
    <col min="13" max="13" width="8.28515625" bestFit="1" customWidth="1"/>
    <col min="14" max="15" width="12" bestFit="1" customWidth="1"/>
  </cols>
  <sheetData>
    <row r="5" spans="1:13" ht="18.75">
      <c r="C5" s="95" t="s">
        <v>151</v>
      </c>
      <c r="D5" s="95"/>
      <c r="E5" s="95"/>
      <c r="F5" s="95"/>
    </row>
    <row r="6" spans="1:13">
      <c r="A6" s="42" t="s">
        <v>141</v>
      </c>
      <c r="B6" s="42" t="s">
        <v>142</v>
      </c>
      <c r="C6" s="42" t="s">
        <v>143</v>
      </c>
      <c r="D6" s="43" t="s">
        <v>144</v>
      </c>
      <c r="E6" s="43" t="s">
        <v>145</v>
      </c>
      <c r="F6" s="71" t="s">
        <v>153</v>
      </c>
      <c r="H6" s="47"/>
    </row>
    <row r="7" spans="1:13">
      <c r="A7" s="42">
        <v>3650</v>
      </c>
      <c r="B7" s="42">
        <v>0.5</v>
      </c>
      <c r="C7" s="42">
        <v>8</v>
      </c>
      <c r="D7" s="43">
        <v>0</v>
      </c>
      <c r="E7" s="43">
        <f t="shared" ref="E7:E27" si="0">2*1825*D7</f>
        <v>0</v>
      </c>
      <c r="F7" s="42">
        <f t="shared" ref="F7:F10" si="1">E7*$B$7</f>
        <v>0</v>
      </c>
      <c r="H7" s="42"/>
      <c r="I7" s="43"/>
      <c r="J7" s="42"/>
      <c r="K7" s="42"/>
    </row>
    <row r="8" spans="1:13">
      <c r="C8" s="42">
        <v>8.5000000000000107</v>
      </c>
      <c r="D8" s="45">
        <v>0</v>
      </c>
      <c r="E8" s="45">
        <f t="shared" si="0"/>
        <v>0</v>
      </c>
      <c r="F8" s="42">
        <f t="shared" si="1"/>
        <v>0</v>
      </c>
      <c r="H8" s="42"/>
      <c r="I8" s="43"/>
      <c r="J8" s="42"/>
      <c r="K8" s="42"/>
    </row>
    <row r="9" spans="1:13">
      <c r="C9" s="42">
        <v>9.0000000000000107</v>
      </c>
      <c r="D9" s="44">
        <v>0.05</v>
      </c>
      <c r="E9" s="44">
        <f t="shared" si="0"/>
        <v>182.5</v>
      </c>
      <c r="F9" s="42">
        <f t="shared" si="1"/>
        <v>91.25</v>
      </c>
      <c r="G9">
        <f>(E9*1000)/780</f>
        <v>233.97435897435898</v>
      </c>
      <c r="H9" s="42"/>
      <c r="I9" s="43"/>
      <c r="J9" s="42"/>
      <c r="K9" s="42"/>
    </row>
    <row r="10" spans="1:13">
      <c r="C10" s="42">
        <v>9.5000000000000195</v>
      </c>
      <c r="D10" s="44">
        <v>0.05</v>
      </c>
      <c r="E10" s="44">
        <f t="shared" si="0"/>
        <v>182.5</v>
      </c>
      <c r="F10" s="42">
        <f t="shared" si="1"/>
        <v>91.25</v>
      </c>
      <c r="H10" s="42"/>
      <c r="I10" s="70"/>
      <c r="J10" s="42"/>
      <c r="K10" s="42"/>
    </row>
    <row r="11" spans="1:13">
      <c r="C11" s="42">
        <v>10</v>
      </c>
      <c r="D11" s="77">
        <v>0.25</v>
      </c>
      <c r="E11" s="77">
        <f t="shared" si="0"/>
        <v>912.5</v>
      </c>
      <c r="F11" s="42">
        <f>E11*$B$7*0</f>
        <v>0</v>
      </c>
      <c r="H11" s="42"/>
      <c r="I11" s="70"/>
      <c r="J11" s="42"/>
      <c r="K11" s="42"/>
    </row>
    <row r="12" spans="1:13">
      <c r="C12" s="42">
        <v>10.5</v>
      </c>
      <c r="D12" s="77">
        <v>0.25</v>
      </c>
      <c r="E12" s="77">
        <f t="shared" si="0"/>
        <v>912.5</v>
      </c>
      <c r="F12" s="42">
        <f>E12*$B$7*0</f>
        <v>0</v>
      </c>
      <c r="H12" s="42"/>
      <c r="I12" s="70"/>
      <c r="J12" s="42"/>
      <c r="K12" s="42"/>
    </row>
    <row r="13" spans="1:13">
      <c r="C13" s="42">
        <v>11</v>
      </c>
      <c r="D13" s="74">
        <v>0.35</v>
      </c>
      <c r="E13" s="74">
        <f t="shared" si="0"/>
        <v>1277.5</v>
      </c>
      <c r="F13" s="42">
        <v>0</v>
      </c>
      <c r="H13" s="42"/>
      <c r="I13" s="70"/>
      <c r="J13" s="42"/>
      <c r="K13" s="42"/>
    </row>
    <row r="14" spans="1:13">
      <c r="C14" s="42">
        <v>11.5</v>
      </c>
      <c r="D14" s="74">
        <v>0.55000000000000004</v>
      </c>
      <c r="E14" s="74">
        <f t="shared" si="0"/>
        <v>2007.5000000000002</v>
      </c>
      <c r="F14" s="42">
        <v>0</v>
      </c>
      <c r="H14" s="42"/>
      <c r="I14" s="43"/>
      <c r="J14" s="42"/>
      <c r="K14" s="42"/>
      <c r="L14" s="42"/>
      <c r="M14" s="42"/>
    </row>
    <row r="15" spans="1:13">
      <c r="C15" s="42">
        <v>12.000000000000099</v>
      </c>
      <c r="D15" s="75">
        <v>0.95</v>
      </c>
      <c r="E15" s="75">
        <f t="shared" si="0"/>
        <v>3467.5</v>
      </c>
      <c r="F15" s="42">
        <v>0</v>
      </c>
      <c r="H15" s="42"/>
      <c r="I15" s="43"/>
      <c r="J15" s="42"/>
      <c r="K15" s="42"/>
      <c r="L15" s="42"/>
      <c r="M15" s="42"/>
    </row>
    <row r="16" spans="1:13">
      <c r="C16" s="42">
        <v>12.500000000000099</v>
      </c>
      <c r="D16" s="74">
        <v>0.55000000000000004</v>
      </c>
      <c r="E16" s="74">
        <f t="shared" si="0"/>
        <v>2007.5000000000002</v>
      </c>
      <c r="F16" s="71">
        <v>0</v>
      </c>
      <c r="H16" s="42"/>
      <c r="I16" s="43"/>
      <c r="J16" s="42"/>
      <c r="K16" s="42"/>
      <c r="L16" s="42"/>
      <c r="M16" s="42"/>
    </row>
    <row r="17" spans="3:14">
      <c r="C17" s="42">
        <v>13.000000000000099</v>
      </c>
      <c r="D17" s="74">
        <v>0.55000000000000004</v>
      </c>
      <c r="E17" s="74">
        <f t="shared" si="0"/>
        <v>2007.5000000000002</v>
      </c>
      <c r="F17" s="71">
        <v>0</v>
      </c>
      <c r="H17" s="42"/>
      <c r="I17" s="43"/>
      <c r="J17" s="42"/>
      <c r="K17" s="42"/>
      <c r="L17" s="42"/>
      <c r="M17" s="42"/>
    </row>
    <row r="18" spans="3:14">
      <c r="C18" s="42">
        <v>13.500000000000099</v>
      </c>
      <c r="D18" s="74">
        <v>0.35</v>
      </c>
      <c r="E18" s="74">
        <f t="shared" si="0"/>
        <v>1277.5</v>
      </c>
      <c r="F18" s="71">
        <v>0</v>
      </c>
      <c r="H18" s="42"/>
      <c r="I18" s="43"/>
      <c r="J18" s="42"/>
      <c r="K18" s="42"/>
      <c r="L18" s="42"/>
      <c r="M18" s="42"/>
    </row>
    <row r="19" spans="3:14">
      <c r="C19" s="42">
        <v>14.000000000000099</v>
      </c>
      <c r="D19" s="77">
        <v>0.25</v>
      </c>
      <c r="E19" s="77">
        <f t="shared" si="0"/>
        <v>912.5</v>
      </c>
      <c r="F19" s="42">
        <f>E19*$B$7*0</f>
        <v>0</v>
      </c>
      <c r="H19" s="42"/>
      <c r="I19" s="43"/>
      <c r="J19" s="42"/>
      <c r="K19" s="42"/>
      <c r="L19" s="42"/>
      <c r="M19" s="42"/>
    </row>
    <row r="20" spans="3:14">
      <c r="C20" s="42">
        <v>14.500000000000099</v>
      </c>
      <c r="D20" s="77">
        <v>0.25</v>
      </c>
      <c r="E20" s="77">
        <f t="shared" si="0"/>
        <v>912.5</v>
      </c>
      <c r="F20" s="42">
        <f>E20*$B$7*0</f>
        <v>0</v>
      </c>
      <c r="H20" s="42"/>
      <c r="I20" s="70"/>
      <c r="J20" s="42"/>
      <c r="K20" s="42"/>
    </row>
    <row r="21" spans="3:14">
      <c r="C21" s="42">
        <v>15.000000000000099</v>
      </c>
      <c r="D21" s="44">
        <v>0.15</v>
      </c>
      <c r="E21" s="44">
        <f t="shared" si="0"/>
        <v>547.5</v>
      </c>
      <c r="F21" s="42">
        <f t="shared" ref="F21:F27" si="2">E21*$B$7</f>
        <v>273.75</v>
      </c>
      <c r="G21">
        <f>(E21*1000)/780</f>
        <v>701.92307692307691</v>
      </c>
      <c r="H21" s="42">
        <f>G21-G9</f>
        <v>467.9487179487179</v>
      </c>
      <c r="I21" s="70"/>
      <c r="J21" s="42"/>
      <c r="K21" s="42"/>
    </row>
    <row r="22" spans="3:14">
      <c r="C22" s="42">
        <v>15.500000000000099</v>
      </c>
      <c r="D22" s="44">
        <v>0.15</v>
      </c>
      <c r="E22" s="44">
        <f t="shared" si="0"/>
        <v>547.5</v>
      </c>
      <c r="F22" s="42">
        <f t="shared" si="2"/>
        <v>273.75</v>
      </c>
      <c r="H22" s="42"/>
      <c r="I22" s="70"/>
      <c r="J22" s="42"/>
      <c r="K22" s="42"/>
    </row>
    <row r="23" spans="3:14">
      <c r="C23" s="42">
        <v>16.000000000000099</v>
      </c>
      <c r="D23" s="44">
        <v>0.1</v>
      </c>
      <c r="E23" s="44">
        <f t="shared" si="0"/>
        <v>365</v>
      </c>
      <c r="F23" s="42">
        <f t="shared" si="2"/>
        <v>182.5</v>
      </c>
      <c r="G23">
        <f>(E23*1000)/780</f>
        <v>467.94871794871796</v>
      </c>
      <c r="H23" s="42">
        <f>G23-G21</f>
        <v>-233.97435897435895</v>
      </c>
      <c r="I23" s="70"/>
      <c r="J23" s="42"/>
      <c r="K23" s="42"/>
    </row>
    <row r="24" spans="3:14">
      <c r="C24" s="42">
        <v>16.500000000000099</v>
      </c>
      <c r="D24" s="44">
        <v>0.1</v>
      </c>
      <c r="E24" s="44">
        <f t="shared" si="0"/>
        <v>365</v>
      </c>
      <c r="F24" s="42">
        <f t="shared" si="2"/>
        <v>182.5</v>
      </c>
      <c r="H24" s="42"/>
      <c r="I24" s="70"/>
      <c r="J24" s="42"/>
      <c r="K24" s="42"/>
    </row>
    <row r="25" spans="3:14">
      <c r="C25" s="42">
        <v>17.000000000000099</v>
      </c>
      <c r="D25" s="44">
        <v>0.05</v>
      </c>
      <c r="E25" s="44">
        <f t="shared" si="0"/>
        <v>182.5</v>
      </c>
      <c r="F25" s="42">
        <f t="shared" si="2"/>
        <v>91.25</v>
      </c>
      <c r="H25" s="42"/>
      <c r="I25" s="70"/>
      <c r="J25" s="42"/>
      <c r="K25" s="42"/>
    </row>
    <row r="26" spans="3:14">
      <c r="C26" s="42">
        <v>17.500000000000099</v>
      </c>
      <c r="D26" s="44">
        <v>0.05</v>
      </c>
      <c r="E26" s="44">
        <f t="shared" si="0"/>
        <v>182.5</v>
      </c>
      <c r="F26" s="42">
        <f t="shared" si="2"/>
        <v>91.25</v>
      </c>
      <c r="H26" s="42"/>
      <c r="I26" s="70"/>
      <c r="J26" s="42"/>
      <c r="K26" s="42"/>
    </row>
    <row r="27" spans="3:14">
      <c r="C27" s="42">
        <v>18.000000000000099</v>
      </c>
      <c r="D27" s="43">
        <v>0</v>
      </c>
      <c r="E27" s="43">
        <f t="shared" si="0"/>
        <v>0</v>
      </c>
      <c r="F27" s="42">
        <f t="shared" si="2"/>
        <v>0</v>
      </c>
      <c r="H27" s="42"/>
      <c r="I27" s="70"/>
      <c r="J27" s="42"/>
      <c r="K27" s="42"/>
    </row>
    <row r="28" spans="3:14">
      <c r="C28" s="57" t="s">
        <v>152</v>
      </c>
      <c r="F28" s="51">
        <f>SUM(F7:F27)</f>
        <v>1277.5</v>
      </c>
      <c r="H28" s="42"/>
      <c r="I28" s="43"/>
      <c r="J28" s="42"/>
      <c r="K28" s="42"/>
    </row>
    <row r="29" spans="3:14">
      <c r="K29" s="47"/>
    </row>
    <row r="32" spans="3:14">
      <c r="L32" s="59"/>
      <c r="M32" s="59"/>
      <c r="N32" s="59"/>
    </row>
    <row r="33" spans="3:14">
      <c r="H33" s="59"/>
      <c r="I33" s="59"/>
      <c r="J33" s="59"/>
      <c r="L33" s="60"/>
      <c r="M33" s="60"/>
      <c r="N33" s="60"/>
    </row>
    <row r="34" spans="3:14">
      <c r="H34" s="60"/>
      <c r="I34" s="60"/>
      <c r="J34" s="60"/>
      <c r="L34" s="66"/>
      <c r="M34" s="67"/>
      <c r="N34" s="63"/>
    </row>
    <row r="35" spans="3:14">
      <c r="H35" s="61"/>
      <c r="I35" s="62"/>
      <c r="J35" s="61"/>
      <c r="L35" s="61"/>
      <c r="M35" s="62"/>
      <c r="N35" s="61"/>
    </row>
    <row r="36" spans="3:14">
      <c r="H36" s="61"/>
      <c r="I36" s="62"/>
      <c r="J36" s="61"/>
      <c r="L36" s="61"/>
      <c r="M36" s="62"/>
      <c r="N36" s="61"/>
    </row>
    <row r="37" spans="3:14" ht="18.75">
      <c r="C37" s="69"/>
      <c r="D37" s="69"/>
      <c r="E37" s="69"/>
      <c r="F37" s="69"/>
      <c r="H37" s="61"/>
      <c r="I37" s="62"/>
      <c r="J37" s="61"/>
      <c r="L37" s="61"/>
      <c r="M37" s="62"/>
      <c r="N37" s="61"/>
    </row>
    <row r="38" spans="3:14">
      <c r="C38" s="42"/>
      <c r="D38" s="43"/>
      <c r="E38" s="43"/>
      <c r="F38" s="42"/>
      <c r="H38" s="63"/>
      <c r="I38" s="62"/>
      <c r="J38" s="61"/>
      <c r="L38" s="63"/>
      <c r="M38" s="62"/>
      <c r="N38" s="61"/>
    </row>
    <row r="39" spans="3:14">
      <c r="C39" s="42"/>
      <c r="D39" s="43"/>
      <c r="E39" s="43"/>
      <c r="F39" s="42"/>
      <c r="H39" s="63"/>
      <c r="I39" s="63"/>
      <c r="J39" s="63"/>
      <c r="L39" s="63"/>
      <c r="M39" s="63"/>
      <c r="N39" s="63"/>
    </row>
    <row r="40" spans="3:14">
      <c r="C40" s="42"/>
      <c r="D40" s="45"/>
      <c r="E40" s="45"/>
      <c r="F40" s="42"/>
      <c r="H40" s="60"/>
      <c r="I40" s="60"/>
      <c r="J40" s="60"/>
      <c r="L40" s="60"/>
      <c r="M40" s="60"/>
      <c r="N40" s="60"/>
    </row>
    <row r="41" spans="3:14">
      <c r="C41" s="42"/>
      <c r="D41" s="70"/>
      <c r="E41" s="70"/>
      <c r="F41" s="42"/>
      <c r="H41" s="61"/>
      <c r="I41" s="64"/>
      <c r="J41" s="64"/>
      <c r="L41" s="66"/>
      <c r="M41" s="68"/>
      <c r="N41" s="68"/>
    </row>
    <row r="42" spans="3:14">
      <c r="C42" s="42"/>
      <c r="D42" s="70"/>
      <c r="E42" s="70"/>
      <c r="F42" s="42"/>
      <c r="H42" s="61"/>
      <c r="I42" s="64"/>
      <c r="J42" s="64"/>
      <c r="L42" s="61"/>
      <c r="M42" s="64"/>
      <c r="N42" s="64"/>
    </row>
    <row r="43" spans="3:14">
      <c r="C43" s="42"/>
      <c r="D43" s="45"/>
      <c r="E43" s="45"/>
      <c r="F43" s="42"/>
      <c r="H43" s="61"/>
      <c r="I43" s="64"/>
      <c r="J43" s="64"/>
      <c r="L43" s="61"/>
      <c r="M43" s="64"/>
      <c r="N43" s="64"/>
    </row>
    <row r="44" spans="3:14">
      <c r="C44" s="42"/>
      <c r="D44" s="45"/>
      <c r="E44" s="45"/>
      <c r="F44" s="42"/>
      <c r="H44" s="63"/>
      <c r="I44" s="65"/>
      <c r="J44" s="65"/>
      <c r="L44" s="61"/>
      <c r="M44" s="64"/>
      <c r="N44" s="64"/>
    </row>
    <row r="45" spans="3:14">
      <c r="C45" s="42"/>
      <c r="D45" s="43"/>
      <c r="E45" s="43"/>
      <c r="F45" s="42"/>
      <c r="L45" s="63"/>
      <c r="M45" s="65"/>
      <c r="N45" s="64"/>
    </row>
    <row r="46" spans="3:14">
      <c r="C46" s="42"/>
      <c r="D46" s="43"/>
      <c r="E46" s="43"/>
      <c r="F46" s="42"/>
    </row>
    <row r="47" spans="3:14">
      <c r="C47" s="42"/>
      <c r="D47" s="43"/>
      <c r="E47" s="43"/>
      <c r="F47" s="42"/>
    </row>
    <row r="48" spans="3:14">
      <c r="C48" s="42"/>
      <c r="D48" s="43"/>
      <c r="E48" s="43"/>
      <c r="F48" s="42"/>
    </row>
    <row r="49" spans="3:6">
      <c r="C49" s="42"/>
      <c r="D49" s="43"/>
      <c r="E49" s="43"/>
      <c r="F49" s="42"/>
    </row>
    <row r="50" spans="3:6">
      <c r="C50" s="42"/>
      <c r="D50" s="43"/>
      <c r="E50" s="43"/>
      <c r="F50" s="42"/>
    </row>
    <row r="51" spans="3:6">
      <c r="C51" s="42"/>
      <c r="D51" s="45"/>
      <c r="E51" s="45"/>
      <c r="F51" s="42"/>
    </row>
    <row r="52" spans="3:6">
      <c r="C52" s="42"/>
      <c r="D52" s="45"/>
      <c r="E52" s="45"/>
      <c r="F52" s="42"/>
    </row>
    <row r="53" spans="3:6">
      <c r="C53" s="42"/>
      <c r="D53" s="70"/>
      <c r="E53" s="70"/>
      <c r="F53" s="42"/>
    </row>
    <row r="54" spans="3:6">
      <c r="C54" s="42"/>
      <c r="D54" s="70"/>
      <c r="E54" s="70"/>
      <c r="F54" s="42"/>
    </row>
    <row r="55" spans="3:6">
      <c r="C55" s="42"/>
      <c r="D55" s="70"/>
      <c r="E55" s="70"/>
      <c r="F55" s="42"/>
    </row>
    <row r="56" spans="3:6">
      <c r="C56" s="42"/>
      <c r="D56" s="70"/>
      <c r="E56" s="70"/>
      <c r="F56" s="42"/>
    </row>
    <row r="57" spans="3:6">
      <c r="C57" s="42"/>
      <c r="D57" s="70"/>
      <c r="E57" s="70"/>
      <c r="F57" s="42"/>
    </row>
    <row r="58" spans="3:6">
      <c r="C58" s="42"/>
      <c r="D58" s="70"/>
      <c r="E58" s="70"/>
      <c r="F58" s="42"/>
    </row>
    <row r="59" spans="3:6">
      <c r="C59" s="42"/>
      <c r="D59" s="43"/>
      <c r="E59" s="43"/>
      <c r="F59" s="42"/>
    </row>
  </sheetData>
  <mergeCells count="1">
    <mergeCell ref="C5:F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2D825-F3B9-4690-816B-819C9229FE1F}">
  <dimension ref="A2:U57"/>
  <sheetViews>
    <sheetView tabSelected="1" topLeftCell="A9" workbookViewId="0">
      <selection activeCell="F4" sqref="F4:F5"/>
    </sheetView>
  </sheetViews>
  <sheetFormatPr baseColWidth="10" defaultRowHeight="15"/>
  <cols>
    <col min="1" max="1" width="15.42578125" bestFit="1" customWidth="1"/>
    <col min="6" max="6" width="16.140625" bestFit="1" customWidth="1"/>
    <col min="14" max="14" width="12.5703125" bestFit="1" customWidth="1"/>
    <col min="15" max="16" width="12" bestFit="1" customWidth="1"/>
    <col min="18" max="18" width="13.7109375" bestFit="1" customWidth="1"/>
    <col min="19" max="19" width="12.5703125" bestFit="1" customWidth="1"/>
    <col min="20" max="20" width="12" bestFit="1" customWidth="1"/>
    <col min="21" max="21" width="12.140625" bestFit="1" customWidth="1"/>
  </cols>
  <sheetData>
    <row r="2" spans="1:21" ht="18.75">
      <c r="C2" s="69"/>
      <c r="D2" s="69"/>
      <c r="E2" s="69"/>
      <c r="F2" s="69"/>
      <c r="G2" s="69"/>
      <c r="H2" s="69"/>
      <c r="I2" s="69"/>
      <c r="J2" s="69"/>
      <c r="K2" s="69"/>
      <c r="L2" s="69"/>
      <c r="R2" s="47"/>
      <c r="S2" s="47"/>
      <c r="T2" s="47"/>
      <c r="U2" s="47"/>
    </row>
    <row r="3" spans="1:21">
      <c r="A3" s="42" t="s">
        <v>141</v>
      </c>
      <c r="B3" s="42" t="s">
        <v>142</v>
      </c>
      <c r="C3" s="42" t="s">
        <v>143</v>
      </c>
      <c r="D3" s="43" t="s">
        <v>144</v>
      </c>
      <c r="E3" s="43" t="s">
        <v>146</v>
      </c>
      <c r="F3" s="71" t="s">
        <v>153</v>
      </c>
      <c r="G3" s="42"/>
      <c r="H3" s="42"/>
      <c r="I3" s="42"/>
      <c r="J3" s="42"/>
      <c r="K3" s="42"/>
      <c r="L3" s="42"/>
      <c r="N3" s="42"/>
      <c r="O3" s="42"/>
      <c r="P3" s="42"/>
      <c r="R3" s="72"/>
      <c r="S3" s="43"/>
      <c r="T3" s="72"/>
      <c r="U3" s="72"/>
    </row>
    <row r="4" spans="1:21">
      <c r="A4" s="42">
        <v>3650</v>
      </c>
      <c r="B4" s="42">
        <v>0.5</v>
      </c>
      <c r="C4" s="42">
        <v>8</v>
      </c>
      <c r="D4" s="56">
        <v>0</v>
      </c>
      <c r="E4" s="56">
        <f t="shared" ref="E4:E24" si="0">2*1825*D4</f>
        <v>0</v>
      </c>
      <c r="F4" s="42">
        <f>$B$4*E4</f>
        <v>0</v>
      </c>
      <c r="G4" s="42"/>
      <c r="H4" s="42"/>
      <c r="I4" s="42"/>
      <c r="J4" s="42"/>
      <c r="K4" s="42"/>
      <c r="L4" s="42"/>
      <c r="N4" s="42"/>
      <c r="O4" s="42"/>
      <c r="P4" s="42"/>
      <c r="R4" s="42"/>
      <c r="S4" s="43"/>
      <c r="T4" s="42"/>
      <c r="U4" s="42"/>
    </row>
    <row r="5" spans="1:21">
      <c r="C5" s="42">
        <v>8.5</v>
      </c>
      <c r="D5" s="44">
        <v>0.1</v>
      </c>
      <c r="E5" s="44">
        <f t="shared" si="0"/>
        <v>365</v>
      </c>
      <c r="F5" s="42">
        <f t="shared" ref="F5:F24" si="1">$B$4*E5</f>
        <v>182.5</v>
      </c>
      <c r="G5" s="42">
        <f>(E5*1000)/780</f>
        <v>467.94871794871796</v>
      </c>
      <c r="H5" s="42"/>
      <c r="I5" s="42"/>
      <c r="K5" s="42"/>
      <c r="L5" s="42"/>
      <c r="N5" s="42"/>
      <c r="O5" s="42"/>
      <c r="P5" s="42"/>
      <c r="R5" s="42"/>
      <c r="S5" s="70"/>
      <c r="T5" s="42"/>
      <c r="U5" s="42"/>
    </row>
    <row r="6" spans="1:21">
      <c r="C6" s="42">
        <v>9</v>
      </c>
      <c r="D6" s="77">
        <v>0.25</v>
      </c>
      <c r="E6" s="77">
        <f t="shared" si="0"/>
        <v>912.5</v>
      </c>
      <c r="F6" s="42">
        <f>$B$4*E6*0</f>
        <v>0</v>
      </c>
      <c r="G6" s="42"/>
      <c r="H6" s="42"/>
      <c r="I6" s="42"/>
      <c r="K6" s="42"/>
      <c r="L6" s="42"/>
      <c r="N6" s="42"/>
      <c r="O6" s="42"/>
      <c r="P6" s="42"/>
      <c r="R6" s="42"/>
      <c r="S6" s="45"/>
      <c r="T6" s="42"/>
      <c r="U6" s="42"/>
    </row>
    <row r="7" spans="1:21">
      <c r="C7" s="42">
        <v>9.5</v>
      </c>
      <c r="D7" s="74">
        <v>0.4</v>
      </c>
      <c r="E7" s="74">
        <f t="shared" si="0"/>
        <v>1460</v>
      </c>
      <c r="F7" s="42">
        <v>0</v>
      </c>
      <c r="G7" s="42"/>
      <c r="H7" s="42"/>
      <c r="I7" s="42"/>
      <c r="K7" s="42"/>
      <c r="L7" s="42"/>
      <c r="N7" s="42"/>
      <c r="O7" s="42"/>
      <c r="P7" s="42"/>
      <c r="R7" s="42"/>
      <c r="S7" s="43"/>
      <c r="T7" s="42"/>
      <c r="U7" s="42"/>
    </row>
    <row r="8" spans="1:21">
      <c r="C8" s="42">
        <v>10</v>
      </c>
      <c r="D8" s="75">
        <v>0.95</v>
      </c>
      <c r="E8" s="75">
        <f t="shared" si="0"/>
        <v>3467.5</v>
      </c>
      <c r="F8" s="42">
        <v>0</v>
      </c>
      <c r="G8" s="42"/>
      <c r="H8" s="42"/>
      <c r="I8" s="42"/>
      <c r="K8" s="42"/>
      <c r="L8" s="42"/>
      <c r="N8" s="42"/>
      <c r="O8" s="42"/>
      <c r="P8" s="42"/>
      <c r="R8" s="42"/>
      <c r="S8" s="43"/>
      <c r="T8" s="42"/>
      <c r="U8" s="42"/>
    </row>
    <row r="9" spans="1:21">
      <c r="C9" s="42">
        <v>10.5</v>
      </c>
      <c r="D9" s="75">
        <v>0.75</v>
      </c>
      <c r="E9" s="75">
        <f t="shared" si="0"/>
        <v>2737.5</v>
      </c>
      <c r="F9" s="42">
        <v>0</v>
      </c>
      <c r="G9" s="42"/>
      <c r="H9" s="42"/>
      <c r="I9" s="42"/>
      <c r="K9" s="42"/>
      <c r="L9" s="42"/>
      <c r="N9" s="42"/>
      <c r="O9" s="42"/>
      <c r="P9" s="42"/>
      <c r="R9" s="42"/>
      <c r="S9" s="43"/>
      <c r="T9" s="42"/>
      <c r="U9" s="42"/>
    </row>
    <row r="10" spans="1:21">
      <c r="C10" s="46">
        <v>11</v>
      </c>
      <c r="D10" s="74">
        <v>0.35</v>
      </c>
      <c r="E10" s="74">
        <f t="shared" si="0"/>
        <v>1277.5</v>
      </c>
      <c r="F10" s="42">
        <v>0</v>
      </c>
      <c r="G10" s="42"/>
      <c r="H10" s="42"/>
      <c r="I10" s="42"/>
      <c r="K10" s="42"/>
      <c r="L10" s="42"/>
      <c r="N10" s="42"/>
      <c r="O10" s="42"/>
      <c r="P10" s="42"/>
      <c r="R10" s="42"/>
      <c r="S10" s="43"/>
      <c r="T10" s="42"/>
      <c r="U10" s="42"/>
    </row>
    <row r="11" spans="1:21">
      <c r="C11" s="49">
        <v>11.5</v>
      </c>
      <c r="D11" s="44">
        <v>0.15</v>
      </c>
      <c r="E11" s="44">
        <f t="shared" si="0"/>
        <v>547.5</v>
      </c>
      <c r="F11" s="42">
        <f t="shared" si="1"/>
        <v>273.75</v>
      </c>
      <c r="G11" s="42">
        <f>(E11*1000)/780</f>
        <v>701.92307692307691</v>
      </c>
      <c r="H11" s="42">
        <f>G11-G5</f>
        <v>233.97435897435895</v>
      </c>
      <c r="I11" s="42"/>
      <c r="K11" s="42"/>
      <c r="L11" s="42"/>
      <c r="N11" s="42"/>
      <c r="O11" s="42"/>
      <c r="P11" s="42"/>
      <c r="R11" s="42"/>
      <c r="S11" s="70"/>
      <c r="T11" s="42"/>
      <c r="U11" s="42"/>
    </row>
    <row r="12" spans="1:21">
      <c r="C12" s="46">
        <v>12</v>
      </c>
      <c r="D12" s="44">
        <v>0.05</v>
      </c>
      <c r="E12" s="44">
        <f t="shared" si="0"/>
        <v>182.5</v>
      </c>
      <c r="F12" s="42">
        <f t="shared" si="1"/>
        <v>91.25</v>
      </c>
      <c r="G12" s="42">
        <f>(E12*1000)/780</f>
        <v>233.97435897435898</v>
      </c>
      <c r="H12" s="42">
        <f>G12-G11</f>
        <v>-467.9487179487179</v>
      </c>
      <c r="I12" s="42"/>
      <c r="K12" s="42"/>
      <c r="L12" s="42"/>
      <c r="N12" s="42"/>
      <c r="O12" s="42"/>
      <c r="P12" s="42"/>
      <c r="R12" s="42"/>
      <c r="S12" s="70"/>
      <c r="T12" s="42"/>
      <c r="U12" s="42"/>
    </row>
    <row r="13" spans="1:21">
      <c r="C13" s="49">
        <v>12.5</v>
      </c>
      <c r="D13" s="73">
        <v>0</v>
      </c>
      <c r="E13" s="73">
        <f t="shared" si="0"/>
        <v>0</v>
      </c>
      <c r="F13" s="42">
        <f t="shared" si="1"/>
        <v>0</v>
      </c>
      <c r="G13" s="42"/>
      <c r="H13" s="42"/>
      <c r="I13" s="42"/>
      <c r="K13" s="42"/>
      <c r="L13" s="42"/>
      <c r="N13" s="42"/>
      <c r="O13" s="42"/>
      <c r="P13" s="42"/>
      <c r="R13" s="42"/>
      <c r="S13" s="43"/>
      <c r="T13" s="42"/>
      <c r="U13" s="42"/>
    </row>
    <row r="14" spans="1:21">
      <c r="C14" s="46">
        <v>13</v>
      </c>
      <c r="D14" s="73">
        <v>0</v>
      </c>
      <c r="E14" s="73">
        <f t="shared" si="0"/>
        <v>0</v>
      </c>
      <c r="F14" s="42">
        <f t="shared" si="1"/>
        <v>0</v>
      </c>
      <c r="G14" s="42"/>
      <c r="H14" s="42"/>
      <c r="I14" s="42"/>
      <c r="K14" s="42"/>
      <c r="L14" s="42"/>
      <c r="N14" s="42"/>
      <c r="O14" s="42"/>
      <c r="P14" s="42"/>
      <c r="R14" s="42"/>
      <c r="S14" s="43"/>
      <c r="T14" s="42"/>
      <c r="U14" s="42"/>
    </row>
    <row r="15" spans="1:21">
      <c r="C15" s="49">
        <v>13.5</v>
      </c>
      <c r="D15" s="73">
        <v>0</v>
      </c>
      <c r="E15" s="73">
        <f t="shared" si="0"/>
        <v>0</v>
      </c>
      <c r="F15" s="42">
        <f t="shared" si="1"/>
        <v>0</v>
      </c>
      <c r="G15" s="42"/>
      <c r="H15" s="42"/>
      <c r="I15" s="42"/>
      <c r="K15" s="42"/>
      <c r="L15" s="42"/>
      <c r="N15" s="42"/>
      <c r="O15" s="42"/>
      <c r="P15" s="42"/>
      <c r="R15" s="42"/>
      <c r="S15" s="43"/>
      <c r="T15" s="42"/>
      <c r="U15" s="42"/>
    </row>
    <row r="16" spans="1:21">
      <c r="C16" s="46">
        <v>13.995357142857101</v>
      </c>
      <c r="D16" s="44">
        <v>0.05</v>
      </c>
      <c r="E16" s="44">
        <f t="shared" si="0"/>
        <v>182.5</v>
      </c>
      <c r="F16" s="42">
        <f t="shared" si="1"/>
        <v>91.25</v>
      </c>
      <c r="G16" s="42"/>
      <c r="H16" s="42"/>
      <c r="I16" s="42"/>
      <c r="K16" s="42"/>
      <c r="L16" s="42"/>
      <c r="O16" s="47"/>
      <c r="P16" s="47"/>
      <c r="R16" s="42"/>
      <c r="S16" s="70"/>
      <c r="T16" s="42"/>
      <c r="U16" s="42"/>
    </row>
    <row r="17" spans="3:21">
      <c r="C17" s="49">
        <v>14.5</v>
      </c>
      <c r="D17" s="44">
        <v>0.15</v>
      </c>
      <c r="E17" s="44">
        <f t="shared" si="0"/>
        <v>547.5</v>
      </c>
      <c r="F17" s="42">
        <f t="shared" si="1"/>
        <v>273.75</v>
      </c>
      <c r="G17" s="42"/>
      <c r="H17" s="42"/>
      <c r="I17" s="42"/>
      <c r="K17" s="42"/>
      <c r="L17" s="42"/>
      <c r="R17" s="42"/>
      <c r="S17" s="70"/>
      <c r="T17" s="42"/>
      <c r="U17" s="42"/>
    </row>
    <row r="18" spans="3:21">
      <c r="C18" s="46">
        <v>14.994999999999999</v>
      </c>
      <c r="D18" s="77">
        <v>0.25</v>
      </c>
      <c r="E18" s="77">
        <f t="shared" si="0"/>
        <v>912.5</v>
      </c>
      <c r="F18" s="42">
        <f>$B$4*E18*0</f>
        <v>0</v>
      </c>
      <c r="G18" s="42"/>
      <c r="H18" s="42"/>
      <c r="I18" s="42"/>
      <c r="K18" s="42"/>
      <c r="L18" s="42"/>
      <c r="N18" s="42"/>
      <c r="O18" s="42"/>
      <c r="P18" s="42"/>
      <c r="R18" s="42"/>
      <c r="S18" s="45"/>
      <c r="T18" s="42"/>
      <c r="U18" s="42"/>
    </row>
    <row r="19" spans="3:21">
      <c r="C19" s="49">
        <v>15.5</v>
      </c>
      <c r="D19" s="74">
        <v>0.35</v>
      </c>
      <c r="E19" s="74">
        <f t="shared" si="0"/>
        <v>1277.5</v>
      </c>
      <c r="F19" s="42">
        <v>0</v>
      </c>
      <c r="G19" s="42"/>
      <c r="H19" s="42"/>
      <c r="I19" s="42"/>
      <c r="K19" s="42"/>
      <c r="L19" s="42"/>
      <c r="N19" s="42"/>
      <c r="O19" s="42"/>
      <c r="P19" s="42"/>
      <c r="R19" s="42"/>
      <c r="S19" s="43"/>
      <c r="T19" s="42"/>
      <c r="U19" s="42"/>
    </row>
    <row r="20" spans="3:21">
      <c r="C20" s="46">
        <v>15.9946428571428</v>
      </c>
      <c r="D20" s="76">
        <v>0.95</v>
      </c>
      <c r="E20" s="76">
        <f t="shared" si="0"/>
        <v>3467.5</v>
      </c>
      <c r="F20" s="42">
        <v>0</v>
      </c>
      <c r="G20" s="42"/>
      <c r="H20" s="42"/>
      <c r="I20" s="42"/>
      <c r="K20" s="42"/>
      <c r="L20" s="42"/>
      <c r="N20" s="42"/>
      <c r="O20" s="42"/>
      <c r="P20" s="42"/>
      <c r="R20" s="42"/>
      <c r="S20" s="43"/>
      <c r="T20" s="42"/>
      <c r="U20" s="42"/>
    </row>
    <row r="21" spans="3:21">
      <c r="C21" s="49">
        <v>16.5</v>
      </c>
      <c r="D21" s="76">
        <v>0.7</v>
      </c>
      <c r="E21" s="76">
        <f t="shared" si="0"/>
        <v>2555</v>
      </c>
      <c r="F21" s="42">
        <v>0</v>
      </c>
      <c r="G21" s="42"/>
      <c r="H21" s="42"/>
      <c r="I21" s="42"/>
      <c r="K21" s="42"/>
      <c r="L21" s="42"/>
      <c r="N21" s="42"/>
      <c r="O21" s="42"/>
      <c r="P21" s="42"/>
      <c r="R21" s="42"/>
      <c r="S21" s="43"/>
      <c r="T21" s="42"/>
      <c r="U21" s="42"/>
    </row>
    <row r="22" spans="3:21">
      <c r="C22" s="46">
        <v>16.994285714285699</v>
      </c>
      <c r="D22" s="74">
        <v>0.45</v>
      </c>
      <c r="E22" s="74">
        <f t="shared" si="0"/>
        <v>1642.5</v>
      </c>
      <c r="F22" s="42">
        <v>0</v>
      </c>
      <c r="G22" s="42"/>
      <c r="H22" s="42"/>
      <c r="I22" s="42"/>
      <c r="K22" s="42"/>
      <c r="L22" s="42"/>
      <c r="O22" s="47"/>
      <c r="P22" s="47"/>
      <c r="R22" s="42"/>
      <c r="S22" s="43"/>
      <c r="T22" s="42"/>
      <c r="U22" s="42"/>
    </row>
    <row r="23" spans="3:21">
      <c r="C23" s="49">
        <v>17.5</v>
      </c>
      <c r="D23" s="77">
        <v>0.3</v>
      </c>
      <c r="E23" s="77">
        <f t="shared" si="0"/>
        <v>1095</v>
      </c>
      <c r="F23" s="42">
        <v>0</v>
      </c>
      <c r="G23" s="42"/>
      <c r="H23" s="42"/>
      <c r="I23" s="42"/>
      <c r="K23" s="42"/>
      <c r="L23" s="42"/>
      <c r="R23" s="42"/>
      <c r="S23" s="45"/>
      <c r="T23" s="42"/>
      <c r="U23" s="42"/>
    </row>
    <row r="24" spans="3:21">
      <c r="C24" s="46">
        <v>17.993928571428601</v>
      </c>
      <c r="D24" s="73">
        <v>0</v>
      </c>
      <c r="E24" s="73">
        <f t="shared" si="0"/>
        <v>0</v>
      </c>
      <c r="F24" s="42">
        <f t="shared" si="1"/>
        <v>0</v>
      </c>
      <c r="G24" s="42"/>
      <c r="H24" s="42"/>
      <c r="I24" s="47"/>
      <c r="J24" s="42"/>
      <c r="K24" s="42"/>
      <c r="L24" s="42"/>
      <c r="N24" s="42"/>
      <c r="O24" s="42"/>
      <c r="P24" s="42"/>
      <c r="R24" s="42"/>
      <c r="S24" s="43"/>
      <c r="T24" s="42"/>
      <c r="U24" s="42"/>
    </row>
    <row r="25" spans="3:21">
      <c r="C25" s="51" t="s">
        <v>152</v>
      </c>
      <c r="F25" s="51">
        <f>SUM(F4:F24)</f>
        <v>912.5</v>
      </c>
      <c r="H25" s="47"/>
      <c r="L25" s="47"/>
      <c r="N25" s="42"/>
      <c r="O25" s="50"/>
      <c r="P25" s="50"/>
      <c r="U25" s="51"/>
    </row>
    <row r="26" spans="3:21">
      <c r="N26" s="42"/>
      <c r="O26" s="50"/>
      <c r="P26" s="50"/>
    </row>
    <row r="27" spans="3:21">
      <c r="N27" s="42"/>
      <c r="O27" s="50"/>
      <c r="P27" s="50"/>
    </row>
    <row r="28" spans="3:21">
      <c r="O28" s="52"/>
      <c r="P28" s="52"/>
    </row>
    <row r="30" spans="3:21">
      <c r="N30" s="42"/>
      <c r="O30" s="42"/>
      <c r="P30" s="42"/>
    </row>
    <row r="31" spans="3:21">
      <c r="N31" s="42"/>
      <c r="O31" s="46"/>
      <c r="P31" s="48"/>
    </row>
    <row r="32" spans="3:21">
      <c r="N32" s="42"/>
      <c r="O32" s="46"/>
      <c r="P32" s="48"/>
    </row>
    <row r="33" spans="3:20">
      <c r="N33" s="42"/>
      <c r="O33" s="46"/>
      <c r="P33" s="48"/>
    </row>
    <row r="34" spans="3:20" ht="18.75">
      <c r="C34" s="69"/>
      <c r="D34" s="69"/>
      <c r="E34" s="69"/>
      <c r="F34" s="69"/>
      <c r="G34" s="69"/>
      <c r="H34" s="69"/>
      <c r="I34" s="69"/>
      <c r="J34" s="69"/>
      <c r="K34" s="69"/>
      <c r="L34" s="69"/>
      <c r="O34" s="53"/>
      <c r="P34" s="54"/>
    </row>
    <row r="35" spans="3:20">
      <c r="C35" s="42"/>
      <c r="D35" s="43"/>
      <c r="E35" s="43"/>
      <c r="F35" s="42"/>
      <c r="G35" s="42"/>
      <c r="H35" s="42"/>
      <c r="I35" s="42"/>
      <c r="J35" s="42"/>
      <c r="K35" s="42"/>
      <c r="L35" s="42"/>
      <c r="N35" s="59"/>
      <c r="O35" s="59"/>
      <c r="P35" s="59"/>
      <c r="Q35" s="63"/>
      <c r="R35" s="59"/>
      <c r="S35" s="59"/>
      <c r="T35" s="59"/>
    </row>
    <row r="36" spans="3:20">
      <c r="C36" s="42"/>
      <c r="D36" s="45"/>
      <c r="E36" s="45"/>
      <c r="F36" s="42"/>
      <c r="G36" s="42"/>
      <c r="H36" s="42"/>
      <c r="I36" s="42"/>
      <c r="J36" s="42"/>
      <c r="K36" s="42"/>
      <c r="L36" s="42"/>
      <c r="N36" s="60"/>
      <c r="O36" s="60"/>
      <c r="P36" s="60"/>
      <c r="Q36" s="63"/>
      <c r="R36" s="60"/>
      <c r="S36" s="60"/>
      <c r="T36" s="60"/>
    </row>
    <row r="37" spans="3:20">
      <c r="C37" s="42"/>
      <c r="D37" s="70"/>
      <c r="E37" s="70"/>
      <c r="F37" s="42"/>
      <c r="G37" s="42"/>
      <c r="H37" s="42"/>
      <c r="I37" s="42"/>
      <c r="K37" s="42"/>
      <c r="L37" s="42"/>
      <c r="N37" s="61"/>
      <c r="O37" s="62"/>
      <c r="P37" s="61"/>
      <c r="Q37" s="63"/>
      <c r="R37" s="66"/>
      <c r="S37" s="67"/>
      <c r="T37" s="63"/>
    </row>
    <row r="38" spans="3:20">
      <c r="C38" s="42"/>
      <c r="D38" s="45"/>
      <c r="E38" s="45"/>
      <c r="F38" s="42"/>
      <c r="G38" s="42"/>
      <c r="H38" s="42"/>
      <c r="I38" s="42"/>
      <c r="K38" s="42"/>
      <c r="L38" s="42"/>
      <c r="N38" s="61"/>
      <c r="O38" s="62"/>
      <c r="P38" s="61"/>
      <c r="Q38" s="63"/>
      <c r="R38" s="61"/>
      <c r="S38" s="62"/>
      <c r="T38" s="61"/>
    </row>
    <row r="39" spans="3:20">
      <c r="C39" s="42"/>
      <c r="D39" s="43"/>
      <c r="E39" s="43"/>
      <c r="F39" s="42"/>
      <c r="G39" s="42"/>
      <c r="H39" s="42"/>
      <c r="I39" s="42"/>
      <c r="K39" s="42"/>
      <c r="L39" s="42"/>
      <c r="N39" s="61"/>
      <c r="O39" s="62"/>
      <c r="P39" s="61"/>
      <c r="Q39" s="63"/>
      <c r="R39" s="61"/>
      <c r="S39" s="62"/>
      <c r="T39" s="61"/>
    </row>
    <row r="40" spans="3:20">
      <c r="C40" s="42"/>
      <c r="D40" s="43"/>
      <c r="E40" s="43"/>
      <c r="F40" s="42"/>
      <c r="G40" s="42"/>
      <c r="H40" s="42"/>
      <c r="I40" s="42"/>
      <c r="K40" s="42"/>
      <c r="L40" s="42"/>
      <c r="N40" s="63"/>
      <c r="O40" s="62"/>
      <c r="P40" s="61"/>
      <c r="Q40" s="63"/>
      <c r="R40" s="61"/>
      <c r="S40" s="62"/>
      <c r="T40" s="61"/>
    </row>
    <row r="41" spans="3:20">
      <c r="C41" s="42"/>
      <c r="D41" s="43"/>
      <c r="E41" s="43"/>
      <c r="F41" s="42"/>
      <c r="G41" s="42"/>
      <c r="H41" s="42"/>
      <c r="I41" s="42"/>
      <c r="K41" s="42"/>
      <c r="L41" s="42"/>
      <c r="N41" s="63"/>
      <c r="O41" s="63"/>
      <c r="P41" s="63"/>
      <c r="Q41" s="63"/>
      <c r="R41" s="63"/>
      <c r="S41" s="62"/>
      <c r="T41" s="61"/>
    </row>
    <row r="42" spans="3:20">
      <c r="C42" s="46"/>
      <c r="D42" s="43"/>
      <c r="E42" s="43"/>
      <c r="F42" s="42"/>
      <c r="G42" s="42"/>
      <c r="H42" s="42"/>
      <c r="I42" s="42"/>
      <c r="K42" s="42"/>
      <c r="L42" s="42"/>
      <c r="N42" s="60"/>
      <c r="O42" s="60"/>
      <c r="P42" s="60"/>
      <c r="Q42" s="63"/>
      <c r="R42" s="63"/>
      <c r="S42" s="63"/>
      <c r="T42" s="63"/>
    </row>
    <row r="43" spans="3:20">
      <c r="C43" s="49"/>
      <c r="D43" s="70"/>
      <c r="E43" s="70"/>
      <c r="F43" s="42"/>
      <c r="G43" s="42"/>
      <c r="H43" s="42"/>
      <c r="I43" s="42"/>
      <c r="K43" s="42"/>
      <c r="L43" s="42"/>
      <c r="N43" s="61"/>
      <c r="O43" s="64"/>
      <c r="P43" s="64"/>
      <c r="Q43" s="63"/>
      <c r="R43" s="60"/>
      <c r="S43" s="60"/>
      <c r="T43" s="60"/>
    </row>
    <row r="44" spans="3:20">
      <c r="C44" s="46"/>
      <c r="D44" s="70"/>
      <c r="E44" s="70"/>
      <c r="F44" s="42"/>
      <c r="G44" s="42"/>
      <c r="H44" s="42"/>
      <c r="I44" s="42"/>
      <c r="K44" s="42"/>
      <c r="L44" s="42"/>
      <c r="N44" s="61"/>
      <c r="O44" s="64"/>
      <c r="P44" s="64"/>
      <c r="Q44" s="63"/>
      <c r="R44" s="66"/>
      <c r="S44" s="68"/>
      <c r="T44" s="68"/>
    </row>
    <row r="45" spans="3:20">
      <c r="C45" s="49"/>
      <c r="D45" s="43"/>
      <c r="E45" s="43"/>
      <c r="F45" s="42"/>
      <c r="G45" s="42"/>
      <c r="H45" s="42"/>
      <c r="I45" s="42"/>
      <c r="K45" s="42"/>
      <c r="L45" s="42"/>
      <c r="N45" s="61"/>
      <c r="O45" s="64"/>
      <c r="P45" s="64"/>
      <c r="Q45" s="63"/>
      <c r="R45" s="61"/>
      <c r="S45" s="68"/>
      <c r="T45" s="68"/>
    </row>
    <row r="46" spans="3:20">
      <c r="C46" s="46"/>
      <c r="D46" s="43"/>
      <c r="E46" s="43"/>
      <c r="F46" s="42"/>
      <c r="G46" s="42"/>
      <c r="H46" s="42"/>
      <c r="I46" s="42"/>
      <c r="K46" s="42"/>
      <c r="L46" s="42"/>
      <c r="N46" s="63"/>
      <c r="O46" s="65"/>
      <c r="P46" s="65"/>
      <c r="Q46" s="63"/>
      <c r="R46" s="61"/>
      <c r="S46" s="68"/>
      <c r="T46" s="68"/>
    </row>
    <row r="47" spans="3:20">
      <c r="C47" s="49"/>
      <c r="D47" s="43"/>
      <c r="E47" s="43"/>
      <c r="F47" s="42"/>
      <c r="G47" s="42"/>
      <c r="H47" s="42"/>
      <c r="I47" s="42"/>
      <c r="K47" s="42"/>
      <c r="L47" s="42"/>
      <c r="N47" s="63"/>
      <c r="O47" s="63"/>
      <c r="P47" s="63"/>
      <c r="Q47" s="63"/>
      <c r="R47" s="61"/>
      <c r="S47" s="68"/>
      <c r="T47" s="68"/>
    </row>
    <row r="48" spans="3:20">
      <c r="C48" s="46"/>
      <c r="D48" s="70"/>
      <c r="E48" s="70"/>
      <c r="F48" s="42"/>
      <c r="G48" s="42"/>
      <c r="H48" s="42"/>
      <c r="I48" s="42"/>
      <c r="K48" s="42"/>
      <c r="L48" s="42"/>
      <c r="N48" s="63"/>
      <c r="O48" s="63"/>
      <c r="P48" s="63"/>
      <c r="Q48" s="63"/>
      <c r="R48" s="63"/>
      <c r="S48" s="65"/>
      <c r="T48" s="64"/>
    </row>
    <row r="49" spans="3:12">
      <c r="C49" s="49"/>
      <c r="D49" s="70"/>
      <c r="E49" s="70"/>
      <c r="F49" s="42"/>
      <c r="G49" s="42"/>
      <c r="H49" s="42"/>
      <c r="I49" s="42"/>
      <c r="K49" s="42"/>
      <c r="L49" s="42"/>
    </row>
    <row r="50" spans="3:12">
      <c r="C50" s="46"/>
      <c r="D50" s="45"/>
      <c r="E50" s="45"/>
      <c r="F50" s="42"/>
      <c r="G50" s="42"/>
      <c r="H50" s="42"/>
      <c r="I50" s="42"/>
      <c r="K50" s="42"/>
      <c r="L50" s="42"/>
    </row>
    <row r="51" spans="3:12">
      <c r="C51" s="49"/>
      <c r="D51" s="43"/>
      <c r="E51" s="43"/>
      <c r="F51" s="42"/>
      <c r="G51" s="42"/>
      <c r="H51" s="42"/>
      <c r="I51" s="42"/>
      <c r="K51" s="42"/>
      <c r="L51" s="42"/>
    </row>
    <row r="52" spans="3:12">
      <c r="C52" s="46"/>
      <c r="D52" s="43"/>
      <c r="E52" s="43"/>
      <c r="F52" s="42"/>
      <c r="G52" s="42"/>
      <c r="H52" s="42"/>
      <c r="I52" s="42"/>
      <c r="K52" s="42"/>
      <c r="L52" s="42"/>
    </row>
    <row r="53" spans="3:12">
      <c r="C53" s="49"/>
      <c r="D53" s="43"/>
      <c r="E53" s="43"/>
      <c r="F53" s="42"/>
      <c r="G53" s="42"/>
      <c r="H53" s="42"/>
      <c r="I53" s="42"/>
      <c r="K53" s="42"/>
      <c r="L53" s="42"/>
    </row>
    <row r="54" spans="3:12">
      <c r="C54" s="46"/>
      <c r="D54" s="43"/>
      <c r="E54" s="43"/>
      <c r="F54" s="42"/>
      <c r="G54" s="42"/>
      <c r="H54" s="42"/>
      <c r="I54" s="42"/>
      <c r="K54" s="42"/>
      <c r="L54" s="42"/>
    </row>
    <row r="55" spans="3:12">
      <c r="C55" s="49"/>
      <c r="D55" s="45"/>
      <c r="E55" s="45"/>
      <c r="F55" s="42"/>
      <c r="G55" s="42"/>
      <c r="H55" s="42"/>
      <c r="I55" s="42"/>
      <c r="K55" s="42"/>
      <c r="L55" s="42"/>
    </row>
    <row r="56" spans="3:12">
      <c r="C56" s="46"/>
      <c r="D56" s="43"/>
      <c r="E56" s="43"/>
      <c r="F56" s="42"/>
      <c r="G56" s="42"/>
      <c r="H56" s="42"/>
      <c r="I56" s="47"/>
      <c r="J56" s="42"/>
      <c r="K56" s="42"/>
      <c r="L56" s="42"/>
    </row>
    <row r="57" spans="3:12">
      <c r="H57" s="47"/>
      <c r="L57" s="4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9A626-FE2C-45BC-B5E1-E7D34819B267}">
  <dimension ref="C4:H16"/>
  <sheetViews>
    <sheetView workbookViewId="0">
      <selection activeCell="E10" sqref="E10"/>
    </sheetView>
  </sheetViews>
  <sheetFormatPr baseColWidth="10" defaultRowHeight="15"/>
  <cols>
    <col min="4" max="4" width="50.85546875" bestFit="1" customWidth="1"/>
  </cols>
  <sheetData>
    <row r="4" spans="3:8">
      <c r="C4" s="51" t="s">
        <v>154</v>
      </c>
      <c r="D4" s="51" t="s">
        <v>155</v>
      </c>
      <c r="E4" s="51">
        <f>'1m_15%'!F28*1.15</f>
        <v>1469.125</v>
      </c>
      <c r="G4" t="s">
        <v>163</v>
      </c>
      <c r="H4">
        <v>600</v>
      </c>
    </row>
    <row r="5" spans="3:8">
      <c r="C5" t="s">
        <v>156</v>
      </c>
      <c r="D5" s="79" t="s">
        <v>169</v>
      </c>
      <c r="E5">
        <v>0.8</v>
      </c>
      <c r="G5" t="s">
        <v>162</v>
      </c>
      <c r="H5" s="78">
        <f>H4/E4</f>
        <v>0.40840636433251087</v>
      </c>
    </row>
    <row r="6" spans="3:8">
      <c r="C6" t="s">
        <v>158</v>
      </c>
      <c r="D6" t="s">
        <v>157</v>
      </c>
      <c r="E6">
        <v>0.8</v>
      </c>
    </row>
    <row r="7" spans="3:8">
      <c r="C7" t="s">
        <v>159</v>
      </c>
      <c r="D7" s="79" t="s">
        <v>168</v>
      </c>
      <c r="E7">
        <v>0.88</v>
      </c>
    </row>
    <row r="8" spans="3:8">
      <c r="C8" t="s">
        <v>160</v>
      </c>
      <c r="D8" s="79" t="s">
        <v>167</v>
      </c>
      <c r="E8">
        <v>1.05</v>
      </c>
    </row>
    <row r="9" spans="3:8">
      <c r="C9" t="s">
        <v>164</v>
      </c>
      <c r="D9" s="79" t="s">
        <v>166</v>
      </c>
      <c r="E9">
        <v>1</v>
      </c>
    </row>
    <row r="10" spans="3:8">
      <c r="C10" s="51" t="s">
        <v>161</v>
      </c>
      <c r="D10" s="51" t="s">
        <v>165</v>
      </c>
      <c r="E10" s="51">
        <f>(E4*E8*E9)/(E7*E6*E5)</f>
        <v>2738.958185369318</v>
      </c>
    </row>
    <row r="11" spans="3:8">
      <c r="C11" s="80" t="s">
        <v>170</v>
      </c>
      <c r="E11" s="78">
        <f>(E8*E9)/(E5*E6*E7)</f>
        <v>1.8643465909090906</v>
      </c>
    </row>
    <row r="13" spans="3:8">
      <c r="C13" t="s">
        <v>171</v>
      </c>
      <c r="E13">
        <f>1470/E7</f>
        <v>1670.4545454545455</v>
      </c>
    </row>
    <row r="14" spans="3:8">
      <c r="C14" t="s">
        <v>172</v>
      </c>
      <c r="E14">
        <f>E13/E6</f>
        <v>2088.0681818181815</v>
      </c>
    </row>
    <row r="15" spans="3:8">
      <c r="C15" t="s">
        <v>173</v>
      </c>
      <c r="E15">
        <f>E14/E5</f>
        <v>2610.0852272727266</v>
      </c>
    </row>
    <row r="16" spans="3:8">
      <c r="C16" t="s">
        <v>174</v>
      </c>
      <c r="E16">
        <f>E15*E9*E8</f>
        <v>2740.5894886363631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1000"/>
  <sheetViews>
    <sheetView topLeftCell="A27" workbookViewId="0">
      <selection activeCell="D7" sqref="D7"/>
    </sheetView>
  </sheetViews>
  <sheetFormatPr baseColWidth="10" defaultColWidth="12.5703125" defaultRowHeight="15" customHeight="1"/>
  <cols>
    <col min="1" max="1" width="11.42578125" customWidth="1"/>
    <col min="2" max="2" width="58.5703125" customWidth="1"/>
    <col min="3" max="3" width="36.7109375" customWidth="1"/>
    <col min="4" max="4" width="41.140625" customWidth="1"/>
    <col min="5" max="5" width="7" customWidth="1"/>
    <col min="6" max="6" width="58.5703125" customWidth="1"/>
    <col min="7" max="7" width="36.7109375" customWidth="1"/>
    <col min="8" max="11" width="11.42578125" customWidth="1"/>
    <col min="12" max="12" width="16.140625" customWidth="1"/>
    <col min="13" max="26" width="11.42578125" customWidth="1"/>
  </cols>
  <sheetData>
    <row r="1" spans="2:13">
      <c r="B1" s="98" t="s">
        <v>11</v>
      </c>
      <c r="C1" s="99"/>
      <c r="D1" s="99"/>
      <c r="E1" s="99"/>
      <c r="F1" s="99"/>
      <c r="G1" s="100"/>
    </row>
    <row r="2" spans="2:13">
      <c r="B2" s="1" t="s">
        <v>0</v>
      </c>
      <c r="C2" s="2" t="s">
        <v>12</v>
      </c>
      <c r="G2" s="2"/>
    </row>
    <row r="3" spans="2:13">
      <c r="B3" s="101" t="s">
        <v>13</v>
      </c>
      <c r="C3" s="97"/>
      <c r="F3" s="101" t="s">
        <v>14</v>
      </c>
      <c r="G3" s="97"/>
    </row>
    <row r="4" spans="2:13">
      <c r="B4" s="96" t="s">
        <v>1</v>
      </c>
      <c r="C4" s="97"/>
      <c r="F4" s="96" t="s">
        <v>1</v>
      </c>
      <c r="G4" s="97"/>
    </row>
    <row r="5" spans="2:13">
      <c r="B5" s="6" t="s">
        <v>15</v>
      </c>
      <c r="C5" s="6">
        <f>2</f>
        <v>2</v>
      </c>
      <c r="F5" s="6" t="s">
        <v>15</v>
      </c>
      <c r="G5" s="6">
        <f>2</f>
        <v>2</v>
      </c>
    </row>
    <row r="6" spans="2:13">
      <c r="B6" s="1" t="s">
        <v>2</v>
      </c>
      <c r="C6" s="1">
        <v>51.2</v>
      </c>
      <c r="F6" s="1" t="s">
        <v>2</v>
      </c>
      <c r="G6" s="1">
        <v>51.2</v>
      </c>
      <c r="J6" s="1" t="s">
        <v>9</v>
      </c>
      <c r="K6" s="5" t="s">
        <v>16</v>
      </c>
      <c r="L6" s="5" t="s">
        <v>6</v>
      </c>
      <c r="M6" s="5" t="s">
        <v>17</v>
      </c>
    </row>
    <row r="7" spans="2:13">
      <c r="B7" s="1" t="s">
        <v>3</v>
      </c>
      <c r="C7" s="1">
        <f>C5*C6</f>
        <v>102.4</v>
      </c>
      <c r="F7" s="1" t="s">
        <v>3</v>
      </c>
      <c r="G7" s="1">
        <f>G5*G6</f>
        <v>102.4</v>
      </c>
      <c r="J7" s="1">
        <v>10</v>
      </c>
      <c r="K7" s="1">
        <f t="shared" ref="K7:K18" si="0">2*J7</f>
        <v>20</v>
      </c>
      <c r="L7" s="1">
        <v>0.93</v>
      </c>
      <c r="M7" s="1">
        <f t="shared" ref="M7:M18" si="1">1-L7</f>
        <v>6.9999999999999951E-2</v>
      </c>
    </row>
    <row r="8" spans="2:13">
      <c r="J8" s="1">
        <v>12</v>
      </c>
      <c r="K8" s="1">
        <f t="shared" si="0"/>
        <v>24</v>
      </c>
      <c r="L8" s="1">
        <v>0.78</v>
      </c>
      <c r="M8" s="1">
        <f t="shared" si="1"/>
        <v>0.21999999999999997</v>
      </c>
    </row>
    <row r="9" spans="2:13">
      <c r="B9" s="96" t="s">
        <v>4</v>
      </c>
      <c r="C9" s="97"/>
      <c r="F9" s="96" t="s">
        <v>4</v>
      </c>
      <c r="G9" s="97"/>
      <c r="J9" s="1">
        <v>14</v>
      </c>
      <c r="K9" s="1">
        <f t="shared" si="0"/>
        <v>28</v>
      </c>
      <c r="L9" s="1">
        <v>0.66</v>
      </c>
      <c r="M9" s="1">
        <f t="shared" si="1"/>
        <v>0.33999999999999997</v>
      </c>
    </row>
    <row r="10" spans="2:13">
      <c r="B10" s="1" t="s">
        <v>18</v>
      </c>
      <c r="C10" s="1">
        <f>200</f>
        <v>200</v>
      </c>
      <c r="F10" s="1" t="s">
        <v>18</v>
      </c>
      <c r="G10" s="1">
        <f>200</f>
        <v>200</v>
      </c>
      <c r="J10" s="1">
        <v>16</v>
      </c>
      <c r="K10" s="1">
        <f t="shared" si="0"/>
        <v>32</v>
      </c>
      <c r="L10" s="1">
        <v>0.57999999999999996</v>
      </c>
      <c r="M10" s="1">
        <f t="shared" si="1"/>
        <v>0.42000000000000004</v>
      </c>
    </row>
    <row r="11" spans="2:13">
      <c r="B11" s="1" t="s">
        <v>5</v>
      </c>
      <c r="C11" s="1">
        <f>C7</f>
        <v>102.4</v>
      </c>
      <c r="F11" s="1" t="s">
        <v>5</v>
      </c>
      <c r="G11" s="1">
        <f>G7</f>
        <v>102.4</v>
      </c>
      <c r="J11" s="1">
        <v>18</v>
      </c>
      <c r="K11" s="1">
        <f t="shared" si="0"/>
        <v>36</v>
      </c>
      <c r="L11" s="1">
        <v>0.52</v>
      </c>
      <c r="M11" s="1">
        <f t="shared" si="1"/>
        <v>0.48</v>
      </c>
    </row>
    <row r="12" spans="2:13">
      <c r="B12" s="7" t="s">
        <v>6</v>
      </c>
      <c r="C12" s="7">
        <v>0.4</v>
      </c>
      <c r="F12" s="7" t="s">
        <v>9</v>
      </c>
      <c r="G12" s="7">
        <v>32</v>
      </c>
      <c r="J12" s="1">
        <v>20</v>
      </c>
      <c r="K12" s="1">
        <f t="shared" si="0"/>
        <v>40</v>
      </c>
      <c r="L12" s="1">
        <v>0.47</v>
      </c>
      <c r="M12" s="1">
        <f t="shared" si="1"/>
        <v>0.53</v>
      </c>
    </row>
    <row r="13" spans="2:13">
      <c r="B13" s="1" t="s">
        <v>19</v>
      </c>
      <c r="C13" s="1">
        <f>(C10*1000)/(C11*C12)</f>
        <v>4882.8124999999991</v>
      </c>
      <c r="F13" s="1" t="s">
        <v>8</v>
      </c>
      <c r="G13" s="1">
        <v>210</v>
      </c>
      <c r="J13" s="1">
        <v>22</v>
      </c>
      <c r="K13" s="1">
        <f t="shared" si="0"/>
        <v>44</v>
      </c>
      <c r="L13" s="1">
        <v>0.42</v>
      </c>
      <c r="M13" s="1">
        <f t="shared" si="1"/>
        <v>0.58000000000000007</v>
      </c>
    </row>
    <row r="14" spans="2:13">
      <c r="F14" s="1" t="s">
        <v>20</v>
      </c>
      <c r="G14" s="1">
        <f>G13*G12</f>
        <v>6720</v>
      </c>
      <c r="J14" s="1">
        <v>24</v>
      </c>
      <c r="K14" s="1">
        <f t="shared" si="0"/>
        <v>48</v>
      </c>
      <c r="L14" s="1">
        <v>0.39</v>
      </c>
      <c r="M14" s="1">
        <f t="shared" si="1"/>
        <v>0.61</v>
      </c>
    </row>
    <row r="15" spans="2:13">
      <c r="B15" s="96" t="s">
        <v>7</v>
      </c>
      <c r="C15" s="97"/>
      <c r="F15" s="6" t="s">
        <v>6</v>
      </c>
      <c r="G15" s="8">
        <f>(G10*1000)/(G11*G14)</f>
        <v>0.29064360119047616</v>
      </c>
      <c r="J15" s="1">
        <v>26</v>
      </c>
      <c r="K15" s="1">
        <f t="shared" si="0"/>
        <v>52</v>
      </c>
      <c r="L15" s="1">
        <v>0.36</v>
      </c>
      <c r="M15" s="1">
        <f t="shared" si="1"/>
        <v>0.64</v>
      </c>
    </row>
    <row r="16" spans="2:13">
      <c r="B16" s="1" t="s">
        <v>8</v>
      </c>
      <c r="C16" s="1">
        <v>210</v>
      </c>
      <c r="J16" s="1">
        <v>28</v>
      </c>
      <c r="K16" s="1">
        <f t="shared" si="0"/>
        <v>56</v>
      </c>
      <c r="L16" s="1">
        <v>0.33</v>
      </c>
      <c r="M16" s="1">
        <f t="shared" si="1"/>
        <v>0.66999999999999993</v>
      </c>
    </row>
    <row r="17" spans="2:13">
      <c r="B17" s="1" t="s">
        <v>9</v>
      </c>
      <c r="C17" s="9">
        <f>C13/C16</f>
        <v>23.251488095238091</v>
      </c>
      <c r="G17" s="9"/>
      <c r="J17" s="1">
        <v>30</v>
      </c>
      <c r="K17" s="1">
        <f t="shared" si="0"/>
        <v>60</v>
      </c>
      <c r="L17" s="1">
        <v>0.31</v>
      </c>
      <c r="M17" s="1">
        <f t="shared" si="1"/>
        <v>0.69</v>
      </c>
    </row>
    <row r="18" spans="2:13">
      <c r="B18" s="6" t="s">
        <v>10</v>
      </c>
      <c r="C18" s="10">
        <f>ROUNDUP(C13/C16,0)</f>
        <v>24</v>
      </c>
      <c r="G18" s="4"/>
      <c r="J18" s="1">
        <v>32</v>
      </c>
      <c r="K18" s="1">
        <f t="shared" si="0"/>
        <v>64</v>
      </c>
      <c r="L18" s="1">
        <v>0.28999999999999998</v>
      </c>
      <c r="M18" s="1">
        <f t="shared" si="1"/>
        <v>0.71</v>
      </c>
    </row>
    <row r="19" spans="2:13">
      <c r="B19" s="1" t="s">
        <v>21</v>
      </c>
      <c r="C19" s="1">
        <v>10</v>
      </c>
    </row>
    <row r="20" spans="2:13">
      <c r="B20" s="1" t="s">
        <v>22</v>
      </c>
      <c r="C20" s="1">
        <f>C16*C18</f>
        <v>5040</v>
      </c>
    </row>
    <row r="21" spans="2:13" ht="15.75" customHeight="1"/>
    <row r="22" spans="2:13" ht="15.75" customHeight="1">
      <c r="B22" s="1" t="s">
        <v>23</v>
      </c>
      <c r="C22" s="1">
        <f>C18*C5</f>
        <v>48</v>
      </c>
      <c r="F22" s="1" t="s">
        <v>23</v>
      </c>
      <c r="G22" s="1">
        <f>G12*G5</f>
        <v>64</v>
      </c>
      <c r="J22" s="1" t="s">
        <v>9</v>
      </c>
      <c r="K22" s="5" t="s">
        <v>16</v>
      </c>
      <c r="L22" s="11" t="s">
        <v>24</v>
      </c>
      <c r="M22" s="5" t="s">
        <v>25</v>
      </c>
    </row>
    <row r="23" spans="2:13" ht="15.75" customHeight="1">
      <c r="J23" s="1">
        <v>10</v>
      </c>
      <c r="K23" s="1">
        <f t="shared" ref="K23:K34" si="2">2*J23</f>
        <v>20</v>
      </c>
      <c r="L23" s="1">
        <v>2100</v>
      </c>
      <c r="M23" s="1">
        <v>2493375</v>
      </c>
    </row>
    <row r="24" spans="2:13" ht="15.75" customHeight="1">
      <c r="B24" s="96" t="s">
        <v>26</v>
      </c>
      <c r="C24" s="97"/>
      <c r="F24" s="96" t="s">
        <v>26</v>
      </c>
      <c r="G24" s="97"/>
      <c r="J24" s="1">
        <v>12</v>
      </c>
      <c r="K24" s="1">
        <f t="shared" si="2"/>
        <v>24</v>
      </c>
      <c r="L24" s="1">
        <v>2520</v>
      </c>
      <c r="M24" s="1">
        <v>2992050</v>
      </c>
    </row>
    <row r="25" spans="2:13" ht="15.75" customHeight="1">
      <c r="B25" s="1" t="s">
        <v>27</v>
      </c>
      <c r="C25" s="1">
        <f>105</f>
        <v>105</v>
      </c>
      <c r="F25" s="1" t="s">
        <v>27</v>
      </c>
      <c r="G25" s="1">
        <f>105</f>
        <v>105</v>
      </c>
      <c r="J25" s="1">
        <v>14</v>
      </c>
      <c r="K25" s="1">
        <f t="shared" si="2"/>
        <v>28</v>
      </c>
      <c r="L25" s="1">
        <v>2940</v>
      </c>
      <c r="M25" s="1">
        <v>3490725</v>
      </c>
    </row>
    <row r="26" spans="2:13" ht="15.75" customHeight="1">
      <c r="B26" s="1" t="s">
        <v>28</v>
      </c>
      <c r="C26" s="1">
        <v>61</v>
      </c>
      <c r="F26" s="1" t="s">
        <v>28</v>
      </c>
      <c r="G26" s="1">
        <v>61</v>
      </c>
      <c r="J26" s="1">
        <v>16</v>
      </c>
      <c r="K26" s="1">
        <f t="shared" si="2"/>
        <v>32</v>
      </c>
      <c r="L26" s="1">
        <v>3360</v>
      </c>
      <c r="M26" s="1">
        <v>3989400</v>
      </c>
    </row>
    <row r="27" spans="2:13" ht="15.75" customHeight="1">
      <c r="B27" s="1" t="s">
        <v>29</v>
      </c>
      <c r="C27" s="1">
        <v>37.5</v>
      </c>
      <c r="F27" s="1" t="s">
        <v>29</v>
      </c>
      <c r="G27" s="1">
        <v>37.5</v>
      </c>
      <c r="J27" s="1">
        <v>18</v>
      </c>
      <c r="K27" s="1">
        <f t="shared" si="2"/>
        <v>36</v>
      </c>
      <c r="L27" s="1">
        <v>3780</v>
      </c>
      <c r="M27" s="1">
        <v>4488075</v>
      </c>
    </row>
    <row r="28" spans="2:13" ht="15.75" customHeight="1">
      <c r="B28" s="1" t="s">
        <v>30</v>
      </c>
      <c r="C28" s="1">
        <v>54.5</v>
      </c>
      <c r="F28" s="1" t="s">
        <v>30</v>
      </c>
      <c r="G28" s="1">
        <v>54.5</v>
      </c>
      <c r="J28" s="1">
        <v>20</v>
      </c>
      <c r="K28" s="1">
        <f t="shared" si="2"/>
        <v>40</v>
      </c>
      <c r="L28" s="1">
        <v>4200</v>
      </c>
      <c r="M28" s="1">
        <v>4986750</v>
      </c>
    </row>
    <row r="29" spans="2:13" ht="15.75" customHeight="1">
      <c r="B29" s="1" t="s">
        <v>25</v>
      </c>
      <c r="C29" s="1">
        <f>C26*C27*C28</f>
        <v>124668.75</v>
      </c>
      <c r="F29" s="1" t="s">
        <v>25</v>
      </c>
      <c r="G29" s="1">
        <f>G26*G27*G28</f>
        <v>124668.75</v>
      </c>
      <c r="J29" s="1">
        <v>22</v>
      </c>
      <c r="K29" s="1">
        <f t="shared" si="2"/>
        <v>44</v>
      </c>
      <c r="L29" s="1">
        <v>4620</v>
      </c>
      <c r="M29" s="1">
        <v>5485425</v>
      </c>
    </row>
    <row r="30" spans="2:13" ht="15.75" customHeight="1">
      <c r="B30" s="11" t="s">
        <v>31</v>
      </c>
      <c r="C30" s="11">
        <f>C25*C22</f>
        <v>5040</v>
      </c>
      <c r="F30" s="11" t="s">
        <v>31</v>
      </c>
      <c r="G30" s="11">
        <f>G25*G22</f>
        <v>6720</v>
      </c>
      <c r="J30" s="1">
        <v>24</v>
      </c>
      <c r="K30" s="1">
        <f t="shared" si="2"/>
        <v>48</v>
      </c>
      <c r="L30" s="1">
        <v>5040</v>
      </c>
      <c r="M30" s="1">
        <v>5984100</v>
      </c>
    </row>
    <row r="31" spans="2:13" ht="15.75" customHeight="1">
      <c r="B31" s="11" t="s">
        <v>32</v>
      </c>
      <c r="C31" s="11">
        <f>C29*C22</f>
        <v>5984100</v>
      </c>
      <c r="F31" s="11" t="s">
        <v>32</v>
      </c>
      <c r="G31" s="11">
        <f>G29*G22</f>
        <v>7978800</v>
      </c>
      <c r="J31" s="1">
        <v>26</v>
      </c>
      <c r="K31" s="1">
        <f t="shared" si="2"/>
        <v>52</v>
      </c>
      <c r="L31" s="1">
        <v>5460</v>
      </c>
      <c r="M31" s="1">
        <v>6482775</v>
      </c>
    </row>
    <row r="32" spans="2:13" ht="15.75" customHeight="1">
      <c r="J32" s="1">
        <v>28</v>
      </c>
      <c r="K32" s="1">
        <f t="shared" si="2"/>
        <v>56</v>
      </c>
      <c r="L32" s="1">
        <v>5880</v>
      </c>
      <c r="M32" s="1">
        <v>6981450</v>
      </c>
    </row>
    <row r="33" spans="2:13" ht="15.75" customHeight="1">
      <c r="J33" s="1">
        <v>30</v>
      </c>
      <c r="K33" s="1">
        <f t="shared" si="2"/>
        <v>60</v>
      </c>
      <c r="L33" s="1">
        <v>6300</v>
      </c>
      <c r="M33" s="1">
        <v>7480125</v>
      </c>
    </row>
    <row r="34" spans="2:13" ht="15.75" customHeight="1">
      <c r="J34" s="1">
        <v>32</v>
      </c>
      <c r="K34" s="1">
        <f t="shared" si="2"/>
        <v>64</v>
      </c>
      <c r="L34" s="1">
        <v>6720</v>
      </c>
      <c r="M34" s="1">
        <v>7978800</v>
      </c>
    </row>
    <row r="35" spans="2:13" ht="15.75" customHeight="1">
      <c r="B35" s="98" t="s">
        <v>33</v>
      </c>
      <c r="C35" s="99"/>
      <c r="D35" s="99"/>
      <c r="E35" s="99"/>
      <c r="F35" s="99"/>
      <c r="G35" s="100"/>
    </row>
    <row r="36" spans="2:13" ht="15.75" customHeight="1">
      <c r="D36" s="1" t="s">
        <v>34</v>
      </c>
      <c r="E36" s="1">
        <v>150</v>
      </c>
    </row>
    <row r="37" spans="2:13" ht="15.75" customHeight="1">
      <c r="D37" s="1" t="s">
        <v>35</v>
      </c>
      <c r="E37" s="1">
        <v>51.2</v>
      </c>
    </row>
    <row r="38" spans="2:13" ht="15.75" customHeight="1">
      <c r="D38" s="12" t="s">
        <v>36</v>
      </c>
      <c r="E38" s="13">
        <f>ROUNDUP(E36/E37,0)</f>
        <v>3</v>
      </c>
      <c r="K38" s="5" t="s">
        <v>16</v>
      </c>
      <c r="L38" s="5" t="s">
        <v>25</v>
      </c>
    </row>
    <row r="39" spans="2:13" ht="15.75" customHeight="1">
      <c r="D39" s="1" t="s">
        <v>37</v>
      </c>
      <c r="E39" s="1">
        <v>10752</v>
      </c>
      <c r="K39" s="1">
        <v>20</v>
      </c>
      <c r="L39" s="1">
        <v>2493375</v>
      </c>
    </row>
    <row r="40" spans="2:13" ht="15.75" customHeight="1">
      <c r="D40" s="12" t="s">
        <v>38</v>
      </c>
      <c r="E40" s="12">
        <f>E39*E38</f>
        <v>32256</v>
      </c>
      <c r="K40" s="1">
        <v>24</v>
      </c>
      <c r="L40" s="1">
        <v>2992050</v>
      </c>
    </row>
    <row r="41" spans="2:13" ht="15.75" customHeight="1">
      <c r="D41" s="1" t="s">
        <v>39</v>
      </c>
      <c r="E41" s="1">
        <v>200000</v>
      </c>
      <c r="K41" s="1">
        <v>28</v>
      </c>
      <c r="L41" s="1">
        <v>3490725</v>
      </c>
    </row>
    <row r="42" spans="2:13" ht="15.75" customHeight="1">
      <c r="D42" s="12" t="s">
        <v>40</v>
      </c>
      <c r="E42" s="12">
        <f>ROUNDUP(E41/E40,0)</f>
        <v>7</v>
      </c>
      <c r="K42" s="1">
        <v>32</v>
      </c>
      <c r="L42" s="1">
        <v>3989400</v>
      </c>
    </row>
    <row r="43" spans="2:13" ht="15.75" customHeight="1">
      <c r="D43" s="1" t="s">
        <v>41</v>
      </c>
      <c r="E43" s="1">
        <v>210</v>
      </c>
      <c r="K43" s="1">
        <v>36</v>
      </c>
      <c r="L43" s="1">
        <v>4488075</v>
      </c>
    </row>
    <row r="44" spans="2:13" ht="15.75" customHeight="1">
      <c r="D44" s="12" t="s">
        <v>42</v>
      </c>
      <c r="E44" s="12">
        <f>E43*E42</f>
        <v>1470</v>
      </c>
      <c r="K44" s="1">
        <v>40</v>
      </c>
      <c r="L44" s="1">
        <v>4986750</v>
      </c>
    </row>
    <row r="45" spans="2:13" ht="15.75" customHeight="1">
      <c r="D45" s="14" t="s">
        <v>43</v>
      </c>
      <c r="E45" s="14">
        <f>E42*E38</f>
        <v>21</v>
      </c>
      <c r="K45" s="1">
        <v>44</v>
      </c>
      <c r="L45" s="1">
        <v>5485425</v>
      </c>
    </row>
    <row r="46" spans="2:13" ht="15.75" customHeight="1">
      <c r="K46" s="1">
        <v>48</v>
      </c>
      <c r="L46" s="1">
        <v>5984100</v>
      </c>
    </row>
    <row r="47" spans="2:13" ht="15.75" customHeight="1">
      <c r="D47" s="1" t="s">
        <v>44</v>
      </c>
      <c r="E47" s="1">
        <v>105</v>
      </c>
      <c r="K47" s="1">
        <v>52</v>
      </c>
      <c r="L47" s="1">
        <v>6482775</v>
      </c>
    </row>
    <row r="48" spans="2:13" ht="15.75" customHeight="1">
      <c r="D48" s="12" t="s">
        <v>45</v>
      </c>
      <c r="E48" s="12">
        <f>E45*E47</f>
        <v>2205</v>
      </c>
      <c r="K48" s="1">
        <v>56</v>
      </c>
      <c r="L48" s="1">
        <v>6981450</v>
      </c>
    </row>
    <row r="49" spans="2:12" ht="15.75" customHeight="1">
      <c r="D49" s="1" t="s">
        <v>46</v>
      </c>
      <c r="E49" s="1">
        <v>0.12470000000000001</v>
      </c>
      <c r="K49" s="1">
        <v>60</v>
      </c>
      <c r="L49" s="1">
        <v>7480125</v>
      </c>
    </row>
    <row r="50" spans="2:12" ht="15.75" customHeight="1">
      <c r="D50" s="12" t="s">
        <v>47</v>
      </c>
      <c r="E50" s="12">
        <f>E49*E45</f>
        <v>2.6187</v>
      </c>
      <c r="K50" s="1">
        <v>64</v>
      </c>
      <c r="L50" s="1">
        <v>7978800</v>
      </c>
    </row>
    <row r="51" spans="2:12" ht="15.75" customHeight="1">
      <c r="B51" s="98" t="s">
        <v>48</v>
      </c>
      <c r="C51" s="100"/>
      <c r="F51" s="98" t="s">
        <v>49</v>
      </c>
      <c r="G51" s="100"/>
    </row>
    <row r="52" spans="2:12" ht="15.75" customHeight="1">
      <c r="B52" s="1" t="s">
        <v>50</v>
      </c>
      <c r="C52" s="1">
        <v>100</v>
      </c>
      <c r="F52" s="1" t="s">
        <v>50</v>
      </c>
      <c r="G52" s="1">
        <v>100</v>
      </c>
    </row>
    <row r="53" spans="2:12" ht="15.75" customHeight="1">
      <c r="B53" s="1" t="s">
        <v>51</v>
      </c>
      <c r="C53" s="1">
        <v>250</v>
      </c>
      <c r="F53" s="1" t="s">
        <v>51</v>
      </c>
      <c r="G53" s="1">
        <v>250</v>
      </c>
    </row>
    <row r="54" spans="2:12" ht="15.75" customHeight="1">
      <c r="B54" s="1" t="s">
        <v>52</v>
      </c>
      <c r="C54" s="1">
        <v>500</v>
      </c>
      <c r="F54" s="1" t="s">
        <v>52</v>
      </c>
      <c r="G54" s="1">
        <v>500</v>
      </c>
    </row>
    <row r="55" spans="2:12" ht="15.75" customHeight="1">
      <c r="B55" s="12" t="s">
        <v>53</v>
      </c>
      <c r="C55" s="15">
        <f>C52/E43</f>
        <v>0.47619047619047616</v>
      </c>
      <c r="F55" s="12" t="s">
        <v>53</v>
      </c>
      <c r="G55" s="15" t="e">
        <f>G52/I43</f>
        <v>#DIV/0!</v>
      </c>
    </row>
    <row r="56" spans="2:12" ht="15.75" customHeight="1">
      <c r="B56" s="12" t="s">
        <v>54</v>
      </c>
      <c r="C56" s="15">
        <f>C53/E43</f>
        <v>1.1904761904761905</v>
      </c>
      <c r="F56" s="12" t="s">
        <v>54</v>
      </c>
      <c r="G56" s="15" t="e">
        <f>G53/I43</f>
        <v>#DIV/0!</v>
      </c>
    </row>
    <row r="57" spans="2:12" ht="15.75" customHeight="1">
      <c r="B57" s="12" t="s">
        <v>55</v>
      </c>
      <c r="C57" s="15">
        <f>C54/E43</f>
        <v>2.3809523809523809</v>
      </c>
      <c r="F57" s="12" t="s">
        <v>55</v>
      </c>
      <c r="G57" s="15" t="e">
        <f>G54/I43</f>
        <v>#DIV/0!</v>
      </c>
    </row>
    <row r="58" spans="2:12" ht="15.75" customHeight="1">
      <c r="B58" s="12" t="s">
        <v>56</v>
      </c>
      <c r="C58" s="12">
        <f>C57*E43</f>
        <v>500</v>
      </c>
      <c r="F58" s="12" t="s">
        <v>56</v>
      </c>
      <c r="G58" s="12" t="e">
        <f>G57*I43</f>
        <v>#DIV/0!</v>
      </c>
    </row>
    <row r="59" spans="2:12" ht="15.75" customHeight="1">
      <c r="B59" s="12" t="s">
        <v>57</v>
      </c>
      <c r="C59" s="12">
        <f>C58*E42</f>
        <v>3500</v>
      </c>
      <c r="F59" s="12" t="s">
        <v>57</v>
      </c>
      <c r="G59" s="12" t="e">
        <f>G58*I42</f>
        <v>#DIV/0!</v>
      </c>
    </row>
    <row r="60" spans="2:12" ht="15.75" customHeight="1">
      <c r="B60" s="12" t="s">
        <v>58</v>
      </c>
      <c r="C60" s="12">
        <f>C59*E36</f>
        <v>525000</v>
      </c>
      <c r="F60" s="12" t="s">
        <v>58</v>
      </c>
      <c r="G60" s="12" t="e">
        <f>G59*I36</f>
        <v>#DIV/0!</v>
      </c>
    </row>
    <row r="61" spans="2:12" ht="15.75" customHeight="1">
      <c r="B61" s="12" t="s">
        <v>59</v>
      </c>
      <c r="C61" s="12">
        <f>C55*E43</f>
        <v>100</v>
      </c>
      <c r="F61" s="12" t="s">
        <v>59</v>
      </c>
      <c r="G61" s="12" t="e">
        <f>G55*I43</f>
        <v>#DIV/0!</v>
      </c>
    </row>
    <row r="62" spans="2:12" ht="15.75" customHeight="1">
      <c r="B62" s="12" t="s">
        <v>60</v>
      </c>
      <c r="C62" s="12">
        <f>C61*E42</f>
        <v>700</v>
      </c>
      <c r="F62" s="12" t="s">
        <v>60</v>
      </c>
      <c r="G62" s="12" t="e">
        <f>G61*I42</f>
        <v>#DIV/0!</v>
      </c>
    </row>
    <row r="63" spans="2:12" ht="15.75" customHeight="1">
      <c r="B63" s="12" t="s">
        <v>61</v>
      </c>
      <c r="C63" s="12">
        <f>C62*E36</f>
        <v>105000</v>
      </c>
      <c r="F63" s="12" t="s">
        <v>61</v>
      </c>
      <c r="G63" s="12" t="e">
        <f>G62*I36</f>
        <v>#DIV/0!</v>
      </c>
    </row>
    <row r="64" spans="2:12" ht="15.75" customHeight="1">
      <c r="B64" s="12" t="s">
        <v>62</v>
      </c>
      <c r="C64" s="12">
        <f>C56*E43</f>
        <v>250</v>
      </c>
      <c r="F64" s="12" t="s">
        <v>62</v>
      </c>
      <c r="G64" s="12" t="e">
        <f>G56*I43</f>
        <v>#DIV/0!</v>
      </c>
    </row>
    <row r="65" spans="2:7" ht="15.75" customHeight="1">
      <c r="B65" s="12" t="s">
        <v>63</v>
      </c>
      <c r="C65" s="12">
        <f>C64*E42</f>
        <v>1750</v>
      </c>
      <c r="F65" s="12" t="s">
        <v>63</v>
      </c>
      <c r="G65" s="12" t="e">
        <f>G64*I42</f>
        <v>#DIV/0!</v>
      </c>
    </row>
    <row r="66" spans="2:7" ht="15.75" customHeight="1">
      <c r="B66" s="12" t="s">
        <v>64</v>
      </c>
      <c r="C66" s="12">
        <f>C65*E36</f>
        <v>262500</v>
      </c>
      <c r="F66" s="12" t="s">
        <v>64</v>
      </c>
      <c r="G66" s="12" t="e">
        <f>G65*I36</f>
        <v>#DIV/0!</v>
      </c>
    </row>
    <row r="67" spans="2:7" ht="15.75" customHeight="1"/>
    <row r="68" spans="2:7" ht="15.75" customHeight="1"/>
    <row r="69" spans="2:7" ht="15.75" customHeight="1"/>
    <row r="70" spans="2:7" ht="15.75" customHeight="1"/>
    <row r="71" spans="2:7" ht="15.75" customHeight="1"/>
    <row r="72" spans="2:7" ht="15.75" customHeight="1"/>
    <row r="73" spans="2:7" ht="15.75" customHeight="1"/>
    <row r="74" spans="2:7" ht="15.75" customHeight="1"/>
    <row r="75" spans="2:7" ht="15.75" customHeight="1"/>
    <row r="76" spans="2:7" ht="15.75" customHeight="1"/>
    <row r="77" spans="2:7" ht="15.75" customHeight="1"/>
    <row r="78" spans="2:7" ht="15.75" customHeight="1"/>
    <row r="79" spans="2:7" ht="15.75" customHeight="1"/>
    <row r="80" spans="2:7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15:C15"/>
    <mergeCell ref="B24:C24"/>
    <mergeCell ref="F24:G24"/>
    <mergeCell ref="B35:G35"/>
    <mergeCell ref="B51:C51"/>
    <mergeCell ref="F51:G51"/>
    <mergeCell ref="B9:C9"/>
    <mergeCell ref="F9:G9"/>
    <mergeCell ref="B1:G1"/>
    <mergeCell ref="B3:C3"/>
    <mergeCell ref="F3:G3"/>
    <mergeCell ref="B4:C4"/>
    <mergeCell ref="F4:G4"/>
  </mergeCells>
  <hyperlinks>
    <hyperlink ref="C2" r:id="rId1" xr:uid="{00000000-0004-0000-0200-000000000000}"/>
  </hyperlinks>
  <pageMargins left="0.7" right="0.7" top="0.75" bottom="0.75" header="0" footer="0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3:P1000"/>
  <sheetViews>
    <sheetView topLeftCell="F1" workbookViewId="0">
      <selection activeCell="D33" sqref="D33"/>
    </sheetView>
  </sheetViews>
  <sheetFormatPr baseColWidth="10" defaultColWidth="12.5703125" defaultRowHeight="15" customHeight="1"/>
  <cols>
    <col min="1" max="2" width="11.42578125" customWidth="1"/>
    <col min="3" max="3" width="58.5703125" customWidth="1"/>
    <col min="4" max="4" width="30.140625" customWidth="1"/>
    <col min="5" max="5" width="11.42578125" customWidth="1"/>
    <col min="6" max="6" width="59.140625" customWidth="1"/>
    <col min="7" max="7" width="31.42578125" customWidth="1"/>
    <col min="8" max="8" width="11.42578125" customWidth="1"/>
    <col min="9" max="9" width="59.140625" customWidth="1"/>
    <col min="10" max="10" width="31.42578125" customWidth="1"/>
    <col min="11" max="11" width="11.42578125" customWidth="1"/>
    <col min="12" max="12" width="23.85546875" customWidth="1"/>
    <col min="13" max="14" width="11.42578125" customWidth="1"/>
    <col min="15" max="15" width="17.85546875" customWidth="1"/>
    <col min="16" max="16" width="20.140625" customWidth="1"/>
    <col min="17" max="26" width="11.42578125" customWidth="1"/>
  </cols>
  <sheetData>
    <row r="3" spans="3:16" ht="15.75">
      <c r="C3" s="1" t="s">
        <v>66</v>
      </c>
      <c r="D3" t="s">
        <v>107</v>
      </c>
      <c r="F3" s="1" t="s">
        <v>66</v>
      </c>
      <c r="G3" t="s">
        <v>108</v>
      </c>
      <c r="I3" s="1" t="s">
        <v>66</v>
      </c>
      <c r="J3" t="s">
        <v>109</v>
      </c>
      <c r="L3" s="93"/>
    </row>
    <row r="4" spans="3:16">
      <c r="C4" s="1" t="s">
        <v>73</v>
      </c>
      <c r="D4" s="1" t="s">
        <v>111</v>
      </c>
      <c r="F4" s="1" t="s">
        <v>73</v>
      </c>
      <c r="G4" s="1" t="s">
        <v>111</v>
      </c>
      <c r="I4" s="1" t="s">
        <v>73</v>
      </c>
      <c r="J4" s="1" t="s">
        <v>112</v>
      </c>
      <c r="L4" s="16"/>
      <c r="M4" s="17"/>
      <c r="N4" s="17"/>
      <c r="O4" s="17"/>
      <c r="P4" s="18"/>
    </row>
    <row r="5" spans="3:16">
      <c r="C5" s="1" t="s">
        <v>75</v>
      </c>
      <c r="D5" s="1" t="s">
        <v>116</v>
      </c>
      <c r="F5" s="1" t="s">
        <v>75</v>
      </c>
      <c r="G5" s="1" t="s">
        <v>116</v>
      </c>
      <c r="I5" s="1" t="s">
        <v>75</v>
      </c>
      <c r="J5" s="1" t="s">
        <v>116</v>
      </c>
      <c r="L5" s="16"/>
      <c r="M5" s="16"/>
      <c r="N5" s="16"/>
      <c r="O5" s="16"/>
      <c r="P5" s="19"/>
    </row>
    <row r="6" spans="3:16">
      <c r="L6" s="3"/>
      <c r="M6" s="16"/>
      <c r="N6" s="16"/>
      <c r="O6" s="16"/>
      <c r="P6" s="19"/>
    </row>
    <row r="7" spans="3:16">
      <c r="C7" s="1" t="s">
        <v>77</v>
      </c>
      <c r="D7" s="1">
        <f>D10/D8</f>
        <v>150</v>
      </c>
      <c r="F7" s="1" t="s">
        <v>77</v>
      </c>
      <c r="G7" s="9">
        <f>G10/G8</f>
        <v>171.42857142857142</v>
      </c>
      <c r="I7" s="1" t="s">
        <v>77</v>
      </c>
      <c r="J7" s="9">
        <f>J23/J8</f>
        <v>898.82278078269167</v>
      </c>
      <c r="L7" s="16"/>
      <c r="M7" s="22"/>
      <c r="N7" s="22"/>
      <c r="O7" s="22"/>
      <c r="P7" s="19"/>
    </row>
    <row r="8" spans="3:16">
      <c r="C8" s="1" t="s">
        <v>118</v>
      </c>
      <c r="D8" s="1">
        <v>0.8</v>
      </c>
      <c r="F8" s="1" t="s">
        <v>118</v>
      </c>
      <c r="G8" s="1">
        <v>2.1</v>
      </c>
      <c r="I8" s="1" t="s">
        <v>118</v>
      </c>
      <c r="J8" s="9">
        <f>J31</f>
        <v>0.4762121212121212</v>
      </c>
      <c r="L8" s="16"/>
      <c r="M8" s="24"/>
      <c r="N8" s="24"/>
      <c r="O8" s="24"/>
      <c r="P8" s="19"/>
    </row>
    <row r="9" spans="3:16">
      <c r="C9" s="1" t="s">
        <v>119</v>
      </c>
      <c r="D9" s="9">
        <f>D10/D15</f>
        <v>244.89795918367346</v>
      </c>
      <c r="F9" s="1" t="s">
        <v>119</v>
      </c>
      <c r="G9" s="9">
        <f>G10/G15</f>
        <v>319.43212067435672</v>
      </c>
      <c r="I9" s="1" t="s">
        <v>119</v>
      </c>
      <c r="J9" s="30">
        <f>J23/J15</f>
        <v>100.50319105209351</v>
      </c>
      <c r="L9" s="16"/>
      <c r="M9" s="16"/>
      <c r="N9" s="16"/>
      <c r="O9" s="16"/>
      <c r="P9" s="19"/>
    </row>
    <row r="10" spans="3:16">
      <c r="C10" s="1" t="s">
        <v>84</v>
      </c>
      <c r="D10" s="1">
        <v>120</v>
      </c>
      <c r="F10" s="1" t="s">
        <v>84</v>
      </c>
      <c r="G10" s="1">
        <v>360</v>
      </c>
      <c r="L10" s="16"/>
      <c r="M10" s="3"/>
      <c r="N10" s="3"/>
      <c r="O10" s="3"/>
      <c r="P10" s="19"/>
    </row>
    <row r="12" spans="3:16">
      <c r="C12" s="1" t="s">
        <v>86</v>
      </c>
      <c r="D12" s="1">
        <v>100</v>
      </c>
      <c r="F12" s="1" t="s">
        <v>86</v>
      </c>
      <c r="G12" s="1">
        <v>230</v>
      </c>
    </row>
    <row r="13" spans="3:16">
      <c r="C13" s="1" t="s">
        <v>88</v>
      </c>
      <c r="D13" s="1">
        <v>70</v>
      </c>
      <c r="F13" s="1" t="s">
        <v>88</v>
      </c>
      <c r="G13" s="1">
        <v>70</v>
      </c>
    </row>
    <row r="14" spans="3:16">
      <c r="C14" s="1" t="s">
        <v>90</v>
      </c>
      <c r="D14" s="1">
        <v>70</v>
      </c>
      <c r="F14" s="1" t="s">
        <v>90</v>
      </c>
      <c r="G14" s="1">
        <v>70</v>
      </c>
    </row>
    <row r="15" spans="3:16">
      <c r="C15" s="1" t="s">
        <v>93</v>
      </c>
      <c r="D15" s="1">
        <f>1000*D12*D13*D14/1000000000</f>
        <v>0.49</v>
      </c>
      <c r="F15" s="1" t="s">
        <v>93</v>
      </c>
      <c r="G15" s="1">
        <f>1000*G12*G13*G14/1000000000</f>
        <v>1.127</v>
      </c>
      <c r="I15" s="1" t="s">
        <v>93</v>
      </c>
      <c r="J15" s="31">
        <f>J33*1000</f>
        <v>4.2588727636363641</v>
      </c>
    </row>
    <row r="19" spans="3:10">
      <c r="C19" s="1" t="s">
        <v>66</v>
      </c>
      <c r="F19" s="1" t="s">
        <v>66</v>
      </c>
      <c r="I19" s="1" t="s">
        <v>66</v>
      </c>
    </row>
    <row r="20" spans="3:10">
      <c r="C20" s="81" t="s">
        <v>34</v>
      </c>
      <c r="D20" s="81">
        <v>750</v>
      </c>
      <c r="F20" s="81" t="s">
        <v>34</v>
      </c>
      <c r="G20" s="81">
        <v>750</v>
      </c>
      <c r="I20" s="81" t="s">
        <v>34</v>
      </c>
      <c r="J20" s="81">
        <v>750</v>
      </c>
    </row>
    <row r="21" spans="3:10" ht="15.75" customHeight="1">
      <c r="C21" s="1" t="s">
        <v>35</v>
      </c>
      <c r="D21" s="1">
        <v>12</v>
      </c>
      <c r="F21" s="1" t="s">
        <v>35</v>
      </c>
      <c r="G21" s="1">
        <v>12</v>
      </c>
      <c r="I21" s="1" t="s">
        <v>35</v>
      </c>
      <c r="J21" s="9">
        <f>J20/J22</f>
        <v>2.8409090909090908</v>
      </c>
    </row>
    <row r="22" spans="3:10" ht="15.75" customHeight="1">
      <c r="C22" s="12" t="s">
        <v>175</v>
      </c>
      <c r="D22" s="1">
        <f>ROUNDUP(D20/D21,0)</f>
        <v>63</v>
      </c>
      <c r="F22" s="12" t="s">
        <v>175</v>
      </c>
      <c r="G22" s="1">
        <f>ROUNDUP(G20/G21,0)</f>
        <v>63</v>
      </c>
      <c r="I22" s="12" t="s">
        <v>175</v>
      </c>
      <c r="J22" s="1">
        <v>264</v>
      </c>
    </row>
    <row r="23" spans="3:10" ht="15.75" customHeight="1">
      <c r="C23" s="1" t="s">
        <v>37</v>
      </c>
      <c r="D23" s="1">
        <f>D10</f>
        <v>120</v>
      </c>
      <c r="F23" s="1" t="s">
        <v>37</v>
      </c>
      <c r="G23" s="1">
        <f>G10</f>
        <v>360</v>
      </c>
      <c r="I23" s="1" t="s">
        <v>37</v>
      </c>
      <c r="J23" s="4">
        <f>J24/J22</f>
        <v>428.030303030303</v>
      </c>
    </row>
    <row r="24" spans="3:10" ht="15.75" customHeight="1">
      <c r="C24" s="12" t="s">
        <v>38</v>
      </c>
      <c r="D24" s="1">
        <f>D23*D22</f>
        <v>7560</v>
      </c>
      <c r="F24" s="12" t="s">
        <v>38</v>
      </c>
      <c r="G24" s="1">
        <f>G23*G22</f>
        <v>22680</v>
      </c>
      <c r="I24" s="12" t="s">
        <v>38</v>
      </c>
      <c r="J24" s="1">
        <f>226000/2</f>
        <v>113000</v>
      </c>
    </row>
    <row r="25" spans="3:10" ht="15.75" customHeight="1">
      <c r="C25" s="81" t="s">
        <v>39</v>
      </c>
      <c r="D25" s="81">
        <v>2800000</v>
      </c>
      <c r="F25" s="81" t="s">
        <v>39</v>
      </c>
      <c r="G25" s="81">
        <v>2800000</v>
      </c>
      <c r="I25" s="81" t="s">
        <v>39</v>
      </c>
      <c r="J25" s="81">
        <v>2800000</v>
      </c>
    </row>
    <row r="26" spans="3:10" ht="15.75" customHeight="1">
      <c r="C26" s="12" t="s">
        <v>40</v>
      </c>
      <c r="D26" s="1">
        <f>ROUNDUP(D25/D24,0)</f>
        <v>371</v>
      </c>
      <c r="F26" s="12" t="s">
        <v>40</v>
      </c>
      <c r="G26" s="1">
        <f>ROUNDUP(G25/G24,0)</f>
        <v>124</v>
      </c>
      <c r="I26" s="12" t="s">
        <v>40</v>
      </c>
      <c r="J26" s="1">
        <f>ROUNDUP(J25/J24,0)</f>
        <v>25</v>
      </c>
    </row>
    <row r="27" spans="3:10" ht="15.75" customHeight="1">
      <c r="C27" s="1" t="s">
        <v>41</v>
      </c>
      <c r="D27" s="1">
        <v>10</v>
      </c>
      <c r="F27" s="1" t="s">
        <v>41</v>
      </c>
      <c r="G27" s="1">
        <v>30</v>
      </c>
      <c r="I27" s="1" t="s">
        <v>41</v>
      </c>
      <c r="J27" s="1">
        <v>128</v>
      </c>
    </row>
    <row r="28" spans="3:10" ht="15.75" customHeight="1">
      <c r="C28" s="12" t="s">
        <v>42</v>
      </c>
      <c r="D28" s="1">
        <f>D27*D26</f>
        <v>3710</v>
      </c>
      <c r="F28" s="12" t="s">
        <v>42</v>
      </c>
      <c r="G28" s="1">
        <f>G27*G26</f>
        <v>3720</v>
      </c>
      <c r="I28" s="12" t="s">
        <v>42</v>
      </c>
      <c r="J28" s="1">
        <f>J27*J26</f>
        <v>3200</v>
      </c>
    </row>
    <row r="29" spans="3:10" ht="15.75" customHeight="1">
      <c r="C29" s="14" t="s">
        <v>176</v>
      </c>
      <c r="D29" s="1">
        <f>D22*D26</f>
        <v>23373</v>
      </c>
      <c r="F29" s="14" t="s">
        <v>176</v>
      </c>
      <c r="G29" s="1">
        <f>G22*G26</f>
        <v>7812</v>
      </c>
      <c r="I29" s="14" t="s">
        <v>176</v>
      </c>
      <c r="J29" s="1">
        <f>J22*J26</f>
        <v>6600</v>
      </c>
    </row>
    <row r="30" spans="3:10" ht="15.75" customHeight="1"/>
    <row r="31" spans="3:10" ht="15.75" customHeight="1">
      <c r="C31" t="s">
        <v>44</v>
      </c>
      <c r="D31" s="1">
        <f>D8</f>
        <v>0.8</v>
      </c>
      <c r="F31" t="s">
        <v>44</v>
      </c>
      <c r="G31" s="1">
        <f>G8</f>
        <v>2.1</v>
      </c>
      <c r="I31" t="s">
        <v>44</v>
      </c>
      <c r="J31" s="9">
        <f>J32/J29</f>
        <v>0.4762121212121212</v>
      </c>
    </row>
    <row r="32" spans="3:10" ht="15.75" customHeight="1">
      <c r="C32" s="12" t="s">
        <v>45</v>
      </c>
      <c r="D32" s="1">
        <f>D29*D31</f>
        <v>18698.400000000001</v>
      </c>
      <c r="F32" s="12" t="s">
        <v>45</v>
      </c>
      <c r="G32" s="1">
        <f>G29*G31</f>
        <v>16405.2</v>
      </c>
      <c r="I32" s="12" t="s">
        <v>45</v>
      </c>
      <c r="J32" s="1">
        <v>3143</v>
      </c>
    </row>
    <row r="33" spans="3:11" ht="15.75" customHeight="1">
      <c r="C33" t="s">
        <v>177</v>
      </c>
      <c r="D33" s="94">
        <f>D15/1000</f>
        <v>4.8999999999999998E-4</v>
      </c>
      <c r="F33" t="s">
        <v>177</v>
      </c>
      <c r="G33" s="1">
        <f>G15/1000</f>
        <v>1.127E-3</v>
      </c>
      <c r="I33" t="s">
        <v>177</v>
      </c>
      <c r="J33" s="31">
        <f>J34/J29</f>
        <v>4.2588727636363637E-3</v>
      </c>
    </row>
    <row r="34" spans="3:11" ht="15.75" customHeight="1">
      <c r="C34" s="12" t="s">
        <v>47</v>
      </c>
      <c r="D34" s="1">
        <f>D29*D33</f>
        <v>11.452769999999999</v>
      </c>
      <c r="F34" s="12" t="s">
        <v>47</v>
      </c>
      <c r="G34" s="1">
        <f>G29*G33</f>
        <v>8.8041239999999998</v>
      </c>
      <c r="I34" s="12" t="s">
        <v>47</v>
      </c>
      <c r="J34" s="9">
        <f>(1343*738*2836)/100000000</f>
        <v>28.108560239999999</v>
      </c>
    </row>
    <row r="35" spans="3:11" ht="15.75" customHeight="1"/>
    <row r="36" spans="3:11" ht="15.75" customHeight="1">
      <c r="C36" s="1" t="s">
        <v>53</v>
      </c>
      <c r="D36" s="1">
        <v>0.5</v>
      </c>
      <c r="F36" s="1" t="s">
        <v>53</v>
      </c>
      <c r="G36" s="1">
        <v>0.5</v>
      </c>
      <c r="I36" s="1" t="s">
        <v>53</v>
      </c>
      <c r="J36" s="1">
        <v>1</v>
      </c>
    </row>
    <row r="37" spans="3:11" ht="15.75" customHeight="1">
      <c r="C37" s="1" t="s">
        <v>54</v>
      </c>
      <c r="D37" s="1">
        <v>1</v>
      </c>
      <c r="F37" s="1" t="s">
        <v>54</v>
      </c>
      <c r="G37" s="1">
        <v>1</v>
      </c>
      <c r="I37" s="1" t="s">
        <v>54</v>
      </c>
      <c r="J37" s="1">
        <v>1</v>
      </c>
    </row>
    <row r="38" spans="3:11" ht="15.75" customHeight="1">
      <c r="C38" s="1" t="s">
        <v>55</v>
      </c>
      <c r="D38" s="1">
        <v>3</v>
      </c>
      <c r="F38" s="1" t="s">
        <v>55</v>
      </c>
      <c r="G38" s="1">
        <v>3</v>
      </c>
      <c r="I38" s="1" t="s">
        <v>55</v>
      </c>
      <c r="J38" s="1">
        <v>3</v>
      </c>
    </row>
    <row r="39" spans="3:11" ht="15.75" customHeight="1">
      <c r="C39" s="32" t="s">
        <v>50</v>
      </c>
      <c r="D39" s="1">
        <v>3</v>
      </c>
      <c r="F39" s="32" t="s">
        <v>50</v>
      </c>
      <c r="G39" s="1">
        <v>5</v>
      </c>
      <c r="I39" s="32" t="s">
        <v>50</v>
      </c>
      <c r="J39" s="1">
        <f>J27*J36</f>
        <v>128</v>
      </c>
    </row>
    <row r="40" spans="3:11" ht="15.75" customHeight="1">
      <c r="C40" s="32" t="s">
        <v>51</v>
      </c>
      <c r="D40" s="1">
        <v>5</v>
      </c>
      <c r="F40" s="32" t="s">
        <v>51</v>
      </c>
      <c r="G40" s="1">
        <v>30</v>
      </c>
      <c r="I40" s="32" t="s">
        <v>51</v>
      </c>
      <c r="J40" s="1">
        <f>J37*J27</f>
        <v>128</v>
      </c>
    </row>
    <row r="41" spans="3:11" ht="15.75" customHeight="1">
      <c r="C41" s="32" t="s">
        <v>120</v>
      </c>
      <c r="D41" s="1">
        <v>20</v>
      </c>
      <c r="F41" s="32" t="s">
        <v>120</v>
      </c>
      <c r="G41" s="1">
        <v>60</v>
      </c>
      <c r="I41" s="32" t="s">
        <v>120</v>
      </c>
      <c r="J41" s="1">
        <v>750</v>
      </c>
    </row>
    <row r="42" spans="3:11" ht="15.75" customHeight="1">
      <c r="C42" s="12" t="s">
        <v>56</v>
      </c>
      <c r="D42" s="1">
        <f>D41</f>
        <v>20</v>
      </c>
      <c r="F42" s="12" t="s">
        <v>56</v>
      </c>
      <c r="G42" s="1">
        <f>G41</f>
        <v>60</v>
      </c>
      <c r="I42" s="12" t="s">
        <v>56</v>
      </c>
      <c r="J42" s="1">
        <f>J41</f>
        <v>750</v>
      </c>
    </row>
    <row r="43" spans="3:11" ht="15.75" customHeight="1">
      <c r="C43" s="12" t="s">
        <v>57</v>
      </c>
      <c r="D43" s="1">
        <f>D42*D26</f>
        <v>7420</v>
      </c>
      <c r="F43" s="12" t="s">
        <v>57</v>
      </c>
      <c r="G43" s="1">
        <f>G42*G26</f>
        <v>7440</v>
      </c>
      <c r="I43" s="12" t="s">
        <v>57</v>
      </c>
      <c r="J43" s="1">
        <f>J42*J26</f>
        <v>18750</v>
      </c>
    </row>
    <row r="44" spans="3:11" ht="15.75" customHeight="1">
      <c r="C44" s="12" t="s">
        <v>58</v>
      </c>
      <c r="D44" s="1">
        <f>D43*D20</f>
        <v>5565000</v>
      </c>
      <c r="E44">
        <f>D44/1000</f>
        <v>5565</v>
      </c>
      <c r="F44" s="12" t="s">
        <v>58</v>
      </c>
      <c r="G44" s="1">
        <f>G43*G20</f>
        <v>5580000</v>
      </c>
      <c r="H44">
        <f>G44/1000</f>
        <v>5580</v>
      </c>
      <c r="I44" s="12" t="s">
        <v>58</v>
      </c>
      <c r="J44" s="1">
        <f>J43*J20</f>
        <v>14062500</v>
      </c>
      <c r="K44">
        <f>J44/1000</f>
        <v>14062.5</v>
      </c>
    </row>
    <row r="45" spans="3:11" ht="15.75" customHeight="1">
      <c r="C45" s="12" t="s">
        <v>59</v>
      </c>
      <c r="D45" s="1">
        <f>D39</f>
        <v>3</v>
      </c>
      <c r="F45" s="12" t="s">
        <v>59</v>
      </c>
      <c r="G45" s="1">
        <f>G39</f>
        <v>5</v>
      </c>
      <c r="I45" s="12" t="s">
        <v>59</v>
      </c>
      <c r="J45" s="1">
        <f>J39</f>
        <v>128</v>
      </c>
    </row>
    <row r="46" spans="3:11" ht="15.75" customHeight="1">
      <c r="C46" s="12" t="s">
        <v>60</v>
      </c>
      <c r="D46" s="1">
        <f>D45*D26</f>
        <v>1113</v>
      </c>
      <c r="F46" s="12" t="s">
        <v>60</v>
      </c>
      <c r="G46" s="1">
        <f>G45*G26</f>
        <v>620</v>
      </c>
      <c r="I46" s="12" t="s">
        <v>60</v>
      </c>
      <c r="J46" s="1">
        <f>J45*J26</f>
        <v>3200</v>
      </c>
    </row>
    <row r="47" spans="3:11" ht="15.75" customHeight="1">
      <c r="C47" s="12" t="s">
        <v>61</v>
      </c>
      <c r="D47" s="1">
        <f>D46*D20</f>
        <v>834750</v>
      </c>
      <c r="F47" s="12" t="s">
        <v>61</v>
      </c>
      <c r="G47" s="1">
        <f>G46*G20</f>
        <v>465000</v>
      </c>
      <c r="I47" s="12" t="s">
        <v>61</v>
      </c>
      <c r="J47" s="1">
        <f>J46*J20</f>
        <v>2400000</v>
      </c>
    </row>
    <row r="48" spans="3:11" ht="15.75" customHeight="1">
      <c r="C48" s="12" t="s">
        <v>62</v>
      </c>
      <c r="D48" s="1">
        <v>5</v>
      </c>
      <c r="F48" s="12" t="s">
        <v>62</v>
      </c>
      <c r="G48" s="1">
        <f>G40</f>
        <v>30</v>
      </c>
      <c r="I48" s="12" t="s">
        <v>62</v>
      </c>
      <c r="J48" s="1">
        <f>J40</f>
        <v>128</v>
      </c>
    </row>
    <row r="49" spans="3:10" ht="15.75" customHeight="1">
      <c r="C49" s="12" t="s">
        <v>63</v>
      </c>
      <c r="D49" s="1">
        <f>D48*D26</f>
        <v>1855</v>
      </c>
      <c r="F49" s="12" t="s">
        <v>63</v>
      </c>
      <c r="G49" s="1">
        <f>G48*G26</f>
        <v>3720</v>
      </c>
      <c r="I49" s="12" t="s">
        <v>63</v>
      </c>
      <c r="J49" s="1">
        <f>J48*J26</f>
        <v>3200</v>
      </c>
    </row>
    <row r="50" spans="3:10" ht="15.75" customHeight="1">
      <c r="C50" s="12" t="s">
        <v>64</v>
      </c>
      <c r="D50" s="1">
        <f>D49*D20/1000</f>
        <v>1391.25</v>
      </c>
      <c r="F50" s="12" t="s">
        <v>64</v>
      </c>
      <c r="G50" s="1">
        <f>G49*G20/1000</f>
        <v>2790</v>
      </c>
      <c r="I50" s="12" t="s">
        <v>64</v>
      </c>
      <c r="J50" s="1">
        <f>J49*J20/1000</f>
        <v>2400</v>
      </c>
    </row>
    <row r="51" spans="3:10" ht="15.75" customHeight="1">
      <c r="D51">
        <f>D50/1000</f>
        <v>1.3912500000000001</v>
      </c>
      <c r="G51">
        <f>G50/1000</f>
        <v>2.79</v>
      </c>
      <c r="J51">
        <f>J50/1000</f>
        <v>2.4</v>
      </c>
    </row>
    <row r="52" spans="3:10" ht="15.75" customHeight="1"/>
    <row r="53" spans="3:10" ht="15.75" customHeight="1"/>
    <row r="54" spans="3:10" ht="15.75" customHeight="1"/>
    <row r="55" spans="3:10" ht="15.75" customHeight="1"/>
    <row r="56" spans="3:10" ht="15.75" customHeight="1"/>
    <row r="57" spans="3:10" ht="15.75" customHeight="1"/>
    <row r="58" spans="3:10" ht="15.75" customHeight="1"/>
    <row r="59" spans="3:10" ht="15.75" customHeight="1"/>
    <row r="60" spans="3:10" ht="15.75" customHeight="1"/>
    <row r="61" spans="3:10" ht="15.75" customHeight="1"/>
    <row r="62" spans="3:10" ht="15.75" customHeight="1"/>
    <row r="63" spans="3:10" ht="15.75" customHeight="1"/>
    <row r="64" spans="3:10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2:X1000"/>
  <sheetViews>
    <sheetView topLeftCell="G16" workbookViewId="0">
      <selection activeCell="N18" sqref="N18"/>
    </sheetView>
  </sheetViews>
  <sheetFormatPr baseColWidth="10" defaultColWidth="12.5703125" defaultRowHeight="15" customHeight="1"/>
  <cols>
    <col min="1" max="2" width="11.42578125" customWidth="1"/>
    <col min="3" max="3" width="58.5703125" customWidth="1"/>
    <col min="4" max="4" width="30.140625" customWidth="1"/>
    <col min="5" max="6" width="11.42578125" customWidth="1"/>
    <col min="7" max="7" width="59" customWidth="1"/>
    <col min="8" max="8" width="13.42578125" customWidth="1"/>
    <col min="9" max="10" width="11.42578125" customWidth="1"/>
    <col min="11" max="11" width="59" customWidth="1"/>
    <col min="12" max="12" width="13.42578125" customWidth="1"/>
    <col min="13" max="14" width="11.42578125" customWidth="1"/>
    <col min="15" max="15" width="26.5703125" customWidth="1"/>
    <col min="16" max="17" width="11.85546875" customWidth="1"/>
    <col min="18" max="18" width="16.7109375" customWidth="1"/>
    <col min="19" max="19" width="11.42578125" customWidth="1"/>
    <col min="20" max="20" width="22.5703125" customWidth="1"/>
    <col min="21" max="23" width="11.42578125" customWidth="1"/>
    <col min="24" max="24" width="14.140625" customWidth="1"/>
    <col min="25" max="33" width="11.42578125" customWidth="1"/>
  </cols>
  <sheetData>
    <row r="2" spans="3:24">
      <c r="T2" s="16"/>
      <c r="U2" s="17"/>
      <c r="V2" s="17"/>
      <c r="W2" s="17"/>
      <c r="X2" s="18"/>
    </row>
    <row r="3" spans="3:24">
      <c r="C3" s="5" t="s">
        <v>66</v>
      </c>
      <c r="D3" s="5" t="s">
        <v>67</v>
      </c>
      <c r="G3" s="5" t="s">
        <v>66</v>
      </c>
      <c r="H3" s="5" t="s">
        <v>68</v>
      </c>
      <c r="K3" s="5" t="s">
        <v>66</v>
      </c>
      <c r="L3" s="88" t="s">
        <v>69</v>
      </c>
      <c r="O3" s="16"/>
      <c r="P3" s="17"/>
      <c r="Q3" s="17"/>
      <c r="R3" s="17"/>
      <c r="T3" s="16"/>
      <c r="U3" s="16"/>
      <c r="V3" s="16"/>
      <c r="W3" s="16"/>
      <c r="X3" s="19"/>
    </row>
    <row r="4" spans="3:24">
      <c r="C4" s="5" t="s">
        <v>73</v>
      </c>
      <c r="D4" s="5" t="s">
        <v>70</v>
      </c>
      <c r="G4" s="5" t="s">
        <v>73</v>
      </c>
      <c r="H4" s="5" t="s">
        <v>71</v>
      </c>
      <c r="K4" s="5" t="s">
        <v>73</v>
      </c>
      <c r="L4" s="5" t="s">
        <v>72</v>
      </c>
      <c r="O4" s="16"/>
      <c r="P4" s="3"/>
      <c r="Q4" s="3"/>
      <c r="R4" s="3"/>
      <c r="T4" s="3"/>
      <c r="U4" s="16"/>
      <c r="V4" s="16"/>
      <c r="W4" s="16"/>
      <c r="X4" s="19"/>
    </row>
    <row r="5" spans="3:24">
      <c r="C5" s="3" t="s">
        <v>75</v>
      </c>
      <c r="D5" s="3" t="s">
        <v>76</v>
      </c>
      <c r="G5" s="3" t="s">
        <v>75</v>
      </c>
      <c r="H5" s="3" t="s">
        <v>76</v>
      </c>
      <c r="K5" s="3" t="s">
        <v>75</v>
      </c>
      <c r="L5" s="3" t="s">
        <v>76</v>
      </c>
      <c r="O5" s="16"/>
      <c r="P5" s="20"/>
      <c r="Q5" s="20"/>
      <c r="R5" s="20"/>
      <c r="T5" s="16"/>
      <c r="U5" s="22"/>
      <c r="V5" s="22"/>
      <c r="W5" s="22"/>
      <c r="X5" s="19"/>
    </row>
    <row r="6" spans="3:24">
      <c r="O6" s="16"/>
      <c r="P6" s="21"/>
      <c r="Q6" s="21"/>
      <c r="R6" s="21"/>
      <c r="T6" s="16"/>
      <c r="U6" s="24"/>
      <c r="V6" s="24"/>
      <c r="W6" s="24"/>
      <c r="X6" s="19"/>
    </row>
    <row r="7" spans="3:24">
      <c r="C7" s="1" t="s">
        <v>77</v>
      </c>
      <c r="D7" s="1">
        <v>97</v>
      </c>
      <c r="G7" s="1" t="s">
        <v>77</v>
      </c>
      <c r="H7" s="23">
        <f>H11/H8</f>
        <v>101.5873015873016</v>
      </c>
      <c r="K7" s="1" t="s">
        <v>77</v>
      </c>
      <c r="L7" s="23">
        <v>102</v>
      </c>
      <c r="O7" s="16"/>
      <c r="P7" s="3"/>
      <c r="Q7" s="3"/>
      <c r="R7" s="3"/>
      <c r="T7" s="16"/>
      <c r="U7" s="16"/>
      <c r="V7" s="16"/>
      <c r="W7" s="16"/>
      <c r="X7" s="19"/>
    </row>
    <row r="8" spans="3:24">
      <c r="C8" s="1" t="s">
        <v>79</v>
      </c>
      <c r="D8" s="1">
        <v>0.9</v>
      </c>
      <c r="G8" s="1" t="s">
        <v>80</v>
      </c>
      <c r="H8" s="1">
        <v>6.3</v>
      </c>
      <c r="K8" s="11" t="s">
        <v>80</v>
      </c>
      <c r="L8" s="11">
        <v>18.7</v>
      </c>
      <c r="O8" s="16"/>
      <c r="P8" s="3"/>
      <c r="Q8" s="3"/>
      <c r="R8" s="3"/>
    </row>
    <row r="9" spans="3:24">
      <c r="C9" s="1" t="s">
        <v>81</v>
      </c>
      <c r="D9" s="1">
        <v>1.1000000000000001</v>
      </c>
    </row>
    <row r="10" spans="3:24">
      <c r="C10" s="1" t="s">
        <v>82</v>
      </c>
      <c r="D10" s="1">
        <f>D7*D8</f>
        <v>87.3</v>
      </c>
    </row>
    <row r="11" spans="3:24">
      <c r="C11" s="1" t="s">
        <v>83</v>
      </c>
      <c r="D11" s="1">
        <f>D7*D9</f>
        <v>106.7</v>
      </c>
      <c r="G11" s="1" t="s">
        <v>84</v>
      </c>
      <c r="H11" s="1">
        <v>640</v>
      </c>
      <c r="K11" s="1" t="s">
        <v>84</v>
      </c>
      <c r="L11" s="1">
        <v>1920</v>
      </c>
      <c r="O11" s="102" t="s">
        <v>85</v>
      </c>
      <c r="P11" s="97"/>
    </row>
    <row r="12" spans="3:24">
      <c r="C12" s="1" t="s">
        <v>86</v>
      </c>
      <c r="D12" s="1">
        <v>152</v>
      </c>
      <c r="G12" s="1" t="s">
        <v>86</v>
      </c>
      <c r="H12" s="1">
        <v>197</v>
      </c>
      <c r="K12" s="1" t="s">
        <v>86</v>
      </c>
      <c r="L12" s="1">
        <v>306</v>
      </c>
      <c r="O12" s="16" t="s">
        <v>87</v>
      </c>
      <c r="P12" s="1">
        <v>5957</v>
      </c>
    </row>
    <row r="13" spans="3:24">
      <c r="C13" s="1" t="s">
        <v>88</v>
      </c>
      <c r="D13" s="1">
        <v>65</v>
      </c>
      <c r="G13" s="1" t="s">
        <v>88</v>
      </c>
      <c r="H13" s="1">
        <v>166</v>
      </c>
      <c r="K13" s="1" t="s">
        <v>88</v>
      </c>
      <c r="L13" s="1">
        <v>172</v>
      </c>
      <c r="O13" s="16" t="s">
        <v>89</v>
      </c>
      <c r="P13" s="1">
        <v>2286</v>
      </c>
    </row>
    <row r="14" spans="3:24">
      <c r="C14" s="1" t="s">
        <v>90</v>
      </c>
      <c r="D14" s="1">
        <v>92</v>
      </c>
      <c r="G14" s="1" t="s">
        <v>90</v>
      </c>
      <c r="H14" s="1">
        <v>171</v>
      </c>
      <c r="K14" s="1" t="s">
        <v>90</v>
      </c>
      <c r="L14" s="1">
        <v>225</v>
      </c>
      <c r="O14" s="16" t="s">
        <v>91</v>
      </c>
      <c r="P14" s="1">
        <v>2494</v>
      </c>
    </row>
    <row r="15" spans="3:24">
      <c r="C15" s="1" t="s">
        <v>92</v>
      </c>
      <c r="D15" s="1">
        <f>D12*D13*D14/1000000000</f>
        <v>9.0896E-4</v>
      </c>
      <c r="G15" s="1" t="s">
        <v>93</v>
      </c>
      <c r="H15" s="1">
        <f>1000*H12*H13*H14/(1000000000)</f>
        <v>5.5920420000000002</v>
      </c>
      <c r="K15" s="11" t="s">
        <v>93</v>
      </c>
      <c r="L15" s="11">
        <f>1000*L12*L13*L14/(1000000000)</f>
        <v>11.8422</v>
      </c>
      <c r="O15" s="16" t="s">
        <v>94</v>
      </c>
      <c r="P15" s="1">
        <f>P12*P13*P14</f>
        <v>33962548788</v>
      </c>
    </row>
    <row r="16" spans="3:24">
      <c r="O16" s="16" t="s">
        <v>95</v>
      </c>
      <c r="P16" s="25">
        <v>33.963000000000001</v>
      </c>
    </row>
    <row r="17" spans="3:17">
      <c r="O17" s="17" t="s">
        <v>96</v>
      </c>
      <c r="P17" s="11">
        <v>33963</v>
      </c>
    </row>
    <row r="18" spans="3:17">
      <c r="O18" s="17" t="s">
        <v>97</v>
      </c>
      <c r="P18" s="11">
        <v>13750</v>
      </c>
    </row>
    <row r="19" spans="3:17">
      <c r="C19" s="1" t="s">
        <v>66</v>
      </c>
      <c r="G19" s="1" t="s">
        <v>66</v>
      </c>
      <c r="K19" s="1" t="s">
        <v>66</v>
      </c>
    </row>
    <row r="20" spans="3:17">
      <c r="C20" s="81" t="s">
        <v>34</v>
      </c>
      <c r="D20" s="82">
        <v>750</v>
      </c>
      <c r="G20" s="81" t="s">
        <v>34</v>
      </c>
      <c r="H20" s="82">
        <v>750</v>
      </c>
      <c r="K20" s="81" t="s">
        <v>34</v>
      </c>
      <c r="L20" s="82">
        <v>750</v>
      </c>
      <c r="O20" s="101" t="s">
        <v>98</v>
      </c>
      <c r="P20" s="97"/>
    </row>
    <row r="21" spans="3:17" ht="15.75" customHeight="1">
      <c r="C21" s="1" t="s">
        <v>35</v>
      </c>
      <c r="D21" s="84">
        <v>12.8</v>
      </c>
      <c r="G21" s="1" t="s">
        <v>35</v>
      </c>
      <c r="H21" s="84">
        <v>12.8</v>
      </c>
      <c r="K21" s="1" t="s">
        <v>35</v>
      </c>
      <c r="L21" s="84">
        <v>38.4</v>
      </c>
      <c r="O21" s="17" t="s">
        <v>99</v>
      </c>
      <c r="P21" s="11">
        <v>140</v>
      </c>
    </row>
    <row r="22" spans="3:17" ht="15.75" customHeight="1">
      <c r="C22" s="12" t="s">
        <v>175</v>
      </c>
      <c r="D22" s="1">
        <f>ROUNDUP(D20/D21,0)</f>
        <v>59</v>
      </c>
      <c r="G22" s="12" t="s">
        <v>175</v>
      </c>
      <c r="H22" s="1">
        <f>ROUNDUP(H20/H21,0)</f>
        <v>59</v>
      </c>
      <c r="K22" s="12" t="s">
        <v>175</v>
      </c>
      <c r="L22" s="1">
        <f>ROUNDUP(L20/L21,0)</f>
        <v>20</v>
      </c>
      <c r="O22" s="17" t="s">
        <v>100</v>
      </c>
      <c r="P22" s="1">
        <f>P21*L15</f>
        <v>1657.9079999999999</v>
      </c>
    </row>
    <row r="23" spans="3:17" ht="15.75" customHeight="1">
      <c r="C23" s="1" t="s">
        <v>37</v>
      </c>
      <c r="D23" s="26">
        <v>97</v>
      </c>
      <c r="G23" s="1" t="s">
        <v>37</v>
      </c>
      <c r="H23" s="26">
        <f>H11</f>
        <v>640</v>
      </c>
      <c r="K23" s="1" t="s">
        <v>37</v>
      </c>
      <c r="L23" s="26">
        <f>L11</f>
        <v>1920</v>
      </c>
      <c r="O23" s="17" t="s">
        <v>101</v>
      </c>
      <c r="P23" s="1">
        <f>P21*L8</f>
        <v>2618</v>
      </c>
    </row>
    <row r="24" spans="3:17" ht="15.75" customHeight="1">
      <c r="C24" s="12" t="s">
        <v>38</v>
      </c>
      <c r="D24" s="1">
        <f>D23*D22</f>
        <v>5723</v>
      </c>
      <c r="G24" s="12" t="s">
        <v>38</v>
      </c>
      <c r="H24" s="1">
        <f>H23*H22</f>
        <v>37760</v>
      </c>
      <c r="K24" s="12" t="s">
        <v>38</v>
      </c>
      <c r="L24" s="1">
        <f>L23*L22</f>
        <v>38400</v>
      </c>
      <c r="O24" s="103" t="s">
        <v>102</v>
      </c>
      <c r="P24" s="97"/>
    </row>
    <row r="25" spans="3:17" ht="15.75" customHeight="1">
      <c r="C25" s="81" t="s">
        <v>39</v>
      </c>
      <c r="D25" s="83">
        <f>L25</f>
        <v>2800000</v>
      </c>
      <c r="G25" s="81" t="s">
        <v>39</v>
      </c>
      <c r="H25" s="83">
        <f>L25</f>
        <v>2800000</v>
      </c>
      <c r="K25" s="81" t="s">
        <v>39</v>
      </c>
      <c r="L25" s="83">
        <v>2800000</v>
      </c>
      <c r="O25" s="27" t="s">
        <v>103</v>
      </c>
      <c r="P25" s="28">
        <v>2600</v>
      </c>
    </row>
    <row r="26" spans="3:17" ht="15.75" customHeight="1">
      <c r="C26" s="12" t="s">
        <v>40</v>
      </c>
      <c r="D26" s="1">
        <f>ROUNDUP(D25/D24,0)</f>
        <v>490</v>
      </c>
      <c r="G26" s="12" t="s">
        <v>40</v>
      </c>
      <c r="H26" s="1">
        <f>ROUNDUP(H25/H24,0)</f>
        <v>75</v>
      </c>
      <c r="K26" s="12" t="s">
        <v>40</v>
      </c>
      <c r="L26" s="1">
        <f>ROUNDUP(L25/L24,0)</f>
        <v>73</v>
      </c>
      <c r="O26" s="17" t="s">
        <v>178</v>
      </c>
      <c r="P26" s="29" t="s">
        <v>104</v>
      </c>
    </row>
    <row r="27" spans="3:17" ht="15.75" customHeight="1">
      <c r="C27" s="1" t="s">
        <v>41</v>
      </c>
      <c r="D27" s="1">
        <v>7.6</v>
      </c>
      <c r="G27" s="1" t="s">
        <v>41</v>
      </c>
      <c r="H27" s="1">
        <v>50</v>
      </c>
      <c r="K27" s="1" t="s">
        <v>41</v>
      </c>
      <c r="L27" s="1">
        <v>50</v>
      </c>
    </row>
    <row r="28" spans="3:17" ht="15.75" customHeight="1">
      <c r="C28" s="12" t="s">
        <v>42</v>
      </c>
      <c r="D28" s="1">
        <f>D27*D26</f>
        <v>3724</v>
      </c>
      <c r="G28" s="12" t="s">
        <v>42</v>
      </c>
      <c r="H28" s="1">
        <f>H27*H26</f>
        <v>3750</v>
      </c>
      <c r="K28" s="12" t="s">
        <v>42</v>
      </c>
      <c r="L28" s="1">
        <f>L27*L26</f>
        <v>3650</v>
      </c>
      <c r="O28" s="104" t="s">
        <v>147</v>
      </c>
      <c r="P28" s="104"/>
    </row>
    <row r="29" spans="3:17" ht="15.75" customHeight="1">
      <c r="C29" s="14" t="s">
        <v>176</v>
      </c>
      <c r="D29" s="1">
        <f>D22*D26</f>
        <v>28910</v>
      </c>
      <c r="G29" s="14" t="s">
        <v>176</v>
      </c>
      <c r="H29" s="1">
        <f>H22*H26</f>
        <v>4425</v>
      </c>
      <c r="K29" s="14" t="s">
        <v>176</v>
      </c>
      <c r="L29" s="1">
        <f>L22*L26</f>
        <v>1460</v>
      </c>
      <c r="O29" t="s">
        <v>148</v>
      </c>
      <c r="P29" s="58">
        <f>269*2.832*1000</f>
        <v>761808</v>
      </c>
    </row>
    <row r="30" spans="3:17" ht="15.75" customHeight="1">
      <c r="O30" t="s">
        <v>149</v>
      </c>
      <c r="P30">
        <f>P29*0.3</f>
        <v>228542.4</v>
      </c>
      <c r="Q30">
        <f>P30/1000</f>
        <v>228.54239999999999</v>
      </c>
    </row>
    <row r="31" spans="3:17" ht="15.75" customHeight="1">
      <c r="C31" t="s">
        <v>44</v>
      </c>
      <c r="D31" s="1">
        <v>1</v>
      </c>
      <c r="G31" t="s">
        <v>44</v>
      </c>
      <c r="H31" s="1">
        <v>6.3</v>
      </c>
      <c r="K31" t="s">
        <v>44</v>
      </c>
      <c r="L31" s="1">
        <v>18.7</v>
      </c>
      <c r="O31" s="55" t="s">
        <v>150</v>
      </c>
      <c r="P31">
        <v>220000</v>
      </c>
    </row>
    <row r="32" spans="3:17" ht="15.75" customHeight="1">
      <c r="C32" s="12" t="s">
        <v>45</v>
      </c>
      <c r="D32" s="11">
        <f>D29*D31</f>
        <v>28910</v>
      </c>
      <c r="G32" s="12" t="s">
        <v>45</v>
      </c>
      <c r="H32" s="11">
        <f>H29*H31</f>
        <v>27877.5</v>
      </c>
      <c r="K32" s="12" t="s">
        <v>45</v>
      </c>
      <c r="L32" s="11">
        <f>L29*L31</f>
        <v>27302</v>
      </c>
    </row>
    <row r="33" spans="3:12" ht="15.75" customHeight="1">
      <c r="C33" t="s">
        <v>177</v>
      </c>
      <c r="D33" s="1">
        <f>D15</f>
        <v>9.0896E-4</v>
      </c>
      <c r="G33" t="s">
        <v>177</v>
      </c>
      <c r="H33" s="1">
        <v>5.5900000000000004E-3</v>
      </c>
      <c r="K33" t="s">
        <v>177</v>
      </c>
      <c r="L33" s="1">
        <v>1.184E-2</v>
      </c>
    </row>
    <row r="34" spans="3:12" ht="15.75" customHeight="1">
      <c r="C34" s="12" t="s">
        <v>47</v>
      </c>
      <c r="D34" s="11">
        <f>D29*D33</f>
        <v>26.278033600000001</v>
      </c>
      <c r="G34" s="12" t="s">
        <v>47</v>
      </c>
      <c r="H34" s="11">
        <f>H29*H33</f>
        <v>24.735750000000003</v>
      </c>
      <c r="K34" s="12" t="s">
        <v>47</v>
      </c>
      <c r="L34" s="11">
        <f>L29*L33</f>
        <v>17.2864</v>
      </c>
    </row>
    <row r="35" spans="3:12" ht="15.75" customHeight="1"/>
    <row r="36" spans="3:12" ht="15.75" customHeight="1">
      <c r="C36" s="1" t="s">
        <v>53</v>
      </c>
      <c r="D36" s="1">
        <f>D39/D27</f>
        <v>1</v>
      </c>
      <c r="G36" s="1" t="s">
        <v>53</v>
      </c>
      <c r="H36" s="1">
        <f>H39/H27</f>
        <v>1</v>
      </c>
      <c r="K36" s="1" t="s">
        <v>53</v>
      </c>
      <c r="L36" s="1">
        <f>L39/L27</f>
        <v>1</v>
      </c>
    </row>
    <row r="37" spans="3:12" ht="15.75" customHeight="1">
      <c r="C37" s="1" t="s">
        <v>54</v>
      </c>
      <c r="D37" s="23">
        <f>D40/D27</f>
        <v>1.9736842105263159</v>
      </c>
      <c r="G37" s="1" t="s">
        <v>54</v>
      </c>
      <c r="H37" s="23">
        <f>H40/H27</f>
        <v>1</v>
      </c>
      <c r="K37" s="1" t="s">
        <v>54</v>
      </c>
      <c r="L37" s="23">
        <f>L40/L27</f>
        <v>1</v>
      </c>
    </row>
    <row r="38" spans="3:12" ht="15.75" customHeight="1">
      <c r="C38" s="1" t="s">
        <v>55</v>
      </c>
      <c r="D38" s="23">
        <f>D41/D27</f>
        <v>7.2368421052631584</v>
      </c>
      <c r="G38" s="1" t="s">
        <v>55</v>
      </c>
      <c r="H38" s="23">
        <f>H41/H27</f>
        <v>2.8</v>
      </c>
      <c r="K38" s="1" t="s">
        <v>55</v>
      </c>
      <c r="L38" s="23">
        <f>L41/L27</f>
        <v>3</v>
      </c>
    </row>
    <row r="39" spans="3:12" ht="15.75" customHeight="1">
      <c r="C39" s="32" t="s">
        <v>50</v>
      </c>
      <c r="D39" s="1">
        <v>7.6</v>
      </c>
      <c r="G39" s="32" t="s">
        <v>50</v>
      </c>
      <c r="H39" s="1">
        <v>50</v>
      </c>
      <c r="K39" s="32" t="s">
        <v>50</v>
      </c>
      <c r="L39" s="1">
        <v>50</v>
      </c>
    </row>
    <row r="40" spans="3:12" ht="15.75" customHeight="1">
      <c r="C40" s="32" t="s">
        <v>51</v>
      </c>
      <c r="D40" s="1">
        <v>15</v>
      </c>
      <c r="G40" s="32" t="s">
        <v>51</v>
      </c>
      <c r="H40" s="1">
        <v>50</v>
      </c>
      <c r="K40" s="32" t="s">
        <v>51</v>
      </c>
      <c r="L40" s="1">
        <v>50</v>
      </c>
    </row>
    <row r="41" spans="3:12" ht="15.75" customHeight="1">
      <c r="C41" s="32" t="s">
        <v>120</v>
      </c>
      <c r="D41" s="1">
        <v>55</v>
      </c>
      <c r="G41" s="32" t="s">
        <v>120</v>
      </c>
      <c r="H41" s="1">
        <v>140</v>
      </c>
      <c r="K41" s="32" t="s">
        <v>120</v>
      </c>
      <c r="L41" s="1">
        <v>150</v>
      </c>
    </row>
    <row r="42" spans="3:12" ht="15.75" customHeight="1">
      <c r="C42" s="12" t="s">
        <v>56</v>
      </c>
      <c r="D42" s="1">
        <f>D41</f>
        <v>55</v>
      </c>
      <c r="G42" s="12" t="s">
        <v>56</v>
      </c>
      <c r="H42" s="1">
        <f>H41</f>
        <v>140</v>
      </c>
      <c r="K42" s="12" t="s">
        <v>56</v>
      </c>
      <c r="L42" s="1">
        <f>L41</f>
        <v>150</v>
      </c>
    </row>
    <row r="43" spans="3:12" ht="15.75" customHeight="1">
      <c r="C43" s="12" t="s">
        <v>57</v>
      </c>
      <c r="D43" s="1">
        <f>D42*D26</f>
        <v>26950</v>
      </c>
      <c r="G43" s="12" t="s">
        <v>57</v>
      </c>
      <c r="H43" s="1">
        <f>H42*H26</f>
        <v>10500</v>
      </c>
      <c r="K43" s="12" t="s">
        <v>57</v>
      </c>
      <c r="L43" s="1">
        <f>L42*L26</f>
        <v>10950</v>
      </c>
    </row>
    <row r="44" spans="3:12" ht="15.75" customHeight="1">
      <c r="C44" s="12" t="s">
        <v>105</v>
      </c>
      <c r="D44" s="1">
        <f>D43*D20/1000</f>
        <v>20212.5</v>
      </c>
      <c r="G44" s="12" t="s">
        <v>105</v>
      </c>
      <c r="H44" s="1">
        <f>H43*H20/1000</f>
        <v>7875</v>
      </c>
      <c r="K44" s="12" t="s">
        <v>105</v>
      </c>
      <c r="L44" s="1">
        <f>L43*L20/1000</f>
        <v>8212.5</v>
      </c>
    </row>
    <row r="45" spans="3:12" ht="15.75" customHeight="1">
      <c r="C45" s="12" t="s">
        <v>59</v>
      </c>
      <c r="D45" s="1">
        <f>D39</f>
        <v>7.6</v>
      </c>
      <c r="G45" s="12" t="s">
        <v>59</v>
      </c>
      <c r="H45" s="1">
        <f>H39</f>
        <v>50</v>
      </c>
      <c r="K45" s="12" t="s">
        <v>59</v>
      </c>
      <c r="L45" s="1">
        <f>L39</f>
        <v>50</v>
      </c>
    </row>
    <row r="46" spans="3:12" ht="15.75" customHeight="1">
      <c r="C46" s="12" t="s">
        <v>60</v>
      </c>
      <c r="D46" s="1">
        <f>D45*D26</f>
        <v>3724</v>
      </c>
      <c r="G46" s="12" t="s">
        <v>60</v>
      </c>
      <c r="H46" s="1">
        <f>H45*H26</f>
        <v>3750</v>
      </c>
      <c r="K46" s="12" t="s">
        <v>60</v>
      </c>
      <c r="L46" s="1">
        <f>L45*L26</f>
        <v>3650</v>
      </c>
    </row>
    <row r="47" spans="3:12" ht="15.75" customHeight="1">
      <c r="C47" s="12" t="s">
        <v>61</v>
      </c>
      <c r="D47" s="1">
        <f>D46*D20/1000</f>
        <v>2793</v>
      </c>
      <c r="G47" s="12" t="s">
        <v>61</v>
      </c>
      <c r="H47" s="1">
        <f>H46*H20/1000</f>
        <v>2812.5</v>
      </c>
      <c r="K47" s="12" t="s">
        <v>61</v>
      </c>
      <c r="L47" s="1">
        <f>L46*L20/1000</f>
        <v>2737.5</v>
      </c>
    </row>
    <row r="48" spans="3:12" ht="15.75" customHeight="1">
      <c r="C48" s="12" t="s">
        <v>62</v>
      </c>
      <c r="D48" s="1">
        <f>D40</f>
        <v>15</v>
      </c>
      <c r="G48" s="12" t="s">
        <v>62</v>
      </c>
      <c r="H48" s="1">
        <f>H40</f>
        <v>50</v>
      </c>
      <c r="K48" s="12" t="s">
        <v>62</v>
      </c>
      <c r="L48" s="1">
        <f>L40</f>
        <v>50</v>
      </c>
    </row>
    <row r="49" spans="3:12" ht="15.75" customHeight="1">
      <c r="C49" s="12" t="s">
        <v>63</v>
      </c>
      <c r="D49" s="1">
        <f>D48*D26</f>
        <v>7350</v>
      </c>
      <c r="G49" s="12" t="s">
        <v>63</v>
      </c>
      <c r="H49" s="1">
        <f>H48*H26</f>
        <v>3750</v>
      </c>
      <c r="K49" s="12" t="s">
        <v>63</v>
      </c>
      <c r="L49" s="1">
        <f>L48*L26</f>
        <v>3650</v>
      </c>
    </row>
    <row r="50" spans="3:12" ht="15.75" customHeight="1">
      <c r="C50" s="12" t="s">
        <v>106</v>
      </c>
      <c r="D50" s="1">
        <f>D49*D20/1000</f>
        <v>5512.5</v>
      </c>
      <c r="G50" s="12" t="s">
        <v>106</v>
      </c>
      <c r="H50" s="1">
        <f>H49*H20/1000</f>
        <v>2812.5</v>
      </c>
      <c r="K50" s="12" t="s">
        <v>106</v>
      </c>
      <c r="L50" s="1">
        <f>L49*L20/1000</f>
        <v>2737.5</v>
      </c>
    </row>
    <row r="51" spans="3:12" ht="15.75" customHeight="1"/>
    <row r="52" spans="3:12" ht="15.75" customHeight="1"/>
    <row r="53" spans="3:12" ht="15.75" customHeight="1"/>
    <row r="54" spans="3:12" ht="15.75" customHeight="1"/>
    <row r="55" spans="3:12" ht="15.75" customHeight="1"/>
    <row r="56" spans="3:12" ht="15.75" customHeight="1"/>
    <row r="57" spans="3:12" ht="15.75" customHeight="1"/>
    <row r="58" spans="3:12" ht="15.75" customHeight="1"/>
    <row r="59" spans="3:12" ht="15.75" customHeight="1"/>
    <row r="60" spans="3:12" ht="15.75" customHeight="1"/>
    <row r="61" spans="3:12" ht="15.75" customHeight="1"/>
    <row r="62" spans="3:12" ht="15.75" customHeight="1"/>
    <row r="63" spans="3:12" ht="15.75" customHeight="1"/>
    <row r="64" spans="3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O11:P11"/>
    <mergeCell ref="O20:P20"/>
    <mergeCell ref="O24:P24"/>
    <mergeCell ref="O28:P28"/>
  </mergeCells>
  <pageMargins left="0.7" right="0.7" top="0.75" bottom="0.75" header="0" footer="0"/>
  <pageSetup orientation="landscape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C2:X1000"/>
  <sheetViews>
    <sheetView topLeftCell="D9" workbookViewId="0">
      <selection activeCell="D32" sqref="D32"/>
    </sheetView>
  </sheetViews>
  <sheetFormatPr baseColWidth="10" defaultColWidth="12.5703125" defaultRowHeight="15" customHeight="1"/>
  <cols>
    <col min="1" max="2" width="11.42578125" customWidth="1"/>
    <col min="3" max="3" width="58.5703125" customWidth="1"/>
    <col min="4" max="4" width="30.140625" customWidth="1"/>
    <col min="5" max="6" width="11.42578125" customWidth="1"/>
    <col min="7" max="7" width="59" customWidth="1"/>
    <col min="8" max="8" width="14.5703125" customWidth="1"/>
    <col min="9" max="10" width="11.42578125" customWidth="1"/>
    <col min="11" max="11" width="59" customWidth="1"/>
    <col min="12" max="12" width="24.5703125" customWidth="1"/>
    <col min="13" max="14" width="11.42578125" customWidth="1"/>
    <col min="15" max="15" width="22.5703125" customWidth="1"/>
    <col min="16" max="17" width="11.85546875" customWidth="1"/>
    <col min="18" max="18" width="16.7109375" customWidth="1"/>
    <col min="19" max="19" width="11.42578125" customWidth="1"/>
    <col min="20" max="20" width="21.42578125" customWidth="1"/>
    <col min="21" max="22" width="11.42578125" customWidth="1"/>
    <col min="23" max="23" width="12.28515625" customWidth="1"/>
    <col min="24" max="24" width="14.7109375" customWidth="1"/>
    <col min="25" max="32" width="11.42578125" customWidth="1"/>
  </cols>
  <sheetData>
    <row r="2" spans="3:24" ht="15.75">
      <c r="T2" s="93"/>
    </row>
    <row r="3" spans="3:24">
      <c r="C3" s="5" t="s">
        <v>66</v>
      </c>
      <c r="D3" s="88" t="s">
        <v>122</v>
      </c>
      <c r="G3" s="5" t="s">
        <v>66</v>
      </c>
      <c r="H3" s="88" t="s">
        <v>123</v>
      </c>
      <c r="K3" s="5" t="s">
        <v>66</v>
      </c>
      <c r="L3" s="88" t="s">
        <v>124</v>
      </c>
      <c r="O3" s="16"/>
      <c r="P3" s="17"/>
      <c r="Q3" s="17"/>
      <c r="R3" s="17"/>
      <c r="T3" s="16"/>
      <c r="U3" s="17"/>
      <c r="V3" s="17"/>
      <c r="W3" s="17"/>
      <c r="X3" s="18"/>
    </row>
    <row r="4" spans="3:24">
      <c r="C4" s="5" t="s">
        <v>73</v>
      </c>
      <c r="D4" s="5" t="s">
        <v>128</v>
      </c>
      <c r="G4" s="5" t="s">
        <v>73</v>
      </c>
      <c r="H4" s="5" t="s">
        <v>128</v>
      </c>
      <c r="K4" s="5" t="s">
        <v>73</v>
      </c>
      <c r="L4" s="5" t="s">
        <v>129</v>
      </c>
      <c r="O4" s="16"/>
      <c r="P4" s="3"/>
      <c r="Q4" s="3"/>
      <c r="R4" s="3"/>
      <c r="T4" s="16"/>
      <c r="U4" s="3"/>
      <c r="V4" s="3"/>
      <c r="W4" s="3"/>
      <c r="X4" s="19"/>
    </row>
    <row r="5" spans="3:24">
      <c r="C5" s="3" t="s">
        <v>75</v>
      </c>
      <c r="D5" s="3" t="s">
        <v>130</v>
      </c>
      <c r="G5" s="3" t="s">
        <v>75</v>
      </c>
      <c r="H5" s="3" t="s">
        <v>130</v>
      </c>
      <c r="K5" s="3" t="s">
        <v>75</v>
      </c>
      <c r="L5" s="3" t="s">
        <v>131</v>
      </c>
      <c r="O5" s="16"/>
      <c r="P5" s="20"/>
      <c r="Q5" s="20"/>
      <c r="R5" s="20"/>
      <c r="T5" s="3"/>
      <c r="U5" s="3"/>
      <c r="V5" s="3"/>
      <c r="W5" s="3"/>
      <c r="X5" s="19"/>
    </row>
    <row r="6" spans="3:24">
      <c r="K6" s="1" t="s">
        <v>119</v>
      </c>
      <c r="L6" s="9">
        <f>L11/L15</f>
        <v>212.89060040345305</v>
      </c>
      <c r="O6" s="16"/>
      <c r="P6" s="21"/>
      <c r="Q6" s="21"/>
      <c r="R6" s="21"/>
      <c r="T6" s="16"/>
      <c r="U6" s="20"/>
      <c r="V6" s="20"/>
      <c r="W6" s="20"/>
      <c r="X6" s="19"/>
    </row>
    <row r="7" spans="3:24">
      <c r="C7" s="1" t="s">
        <v>119</v>
      </c>
      <c r="D7" s="1">
        <v>73</v>
      </c>
      <c r="G7" s="1" t="s">
        <v>119</v>
      </c>
      <c r="H7" s="1">
        <v>58</v>
      </c>
      <c r="K7" s="1" t="s">
        <v>77</v>
      </c>
      <c r="L7" s="23">
        <f>L11/L8</f>
        <v>78.260869565217391</v>
      </c>
      <c r="O7" s="16"/>
      <c r="P7" s="3"/>
      <c r="Q7" s="3"/>
      <c r="R7" s="3"/>
      <c r="T7" s="16"/>
      <c r="U7" s="21"/>
      <c r="V7" s="21"/>
      <c r="W7" s="21"/>
      <c r="X7" s="19"/>
    </row>
    <row r="8" spans="3:24">
      <c r="C8" s="1" t="s">
        <v>118</v>
      </c>
      <c r="D8" s="1">
        <v>0.09</v>
      </c>
      <c r="G8" s="1" t="s">
        <v>132</v>
      </c>
      <c r="H8" s="1">
        <v>1.1999999999999999E-3</v>
      </c>
      <c r="K8" s="1" t="s">
        <v>118</v>
      </c>
      <c r="L8" s="1">
        <v>4.5999999999999999E-2</v>
      </c>
      <c r="O8" s="16"/>
      <c r="P8" s="3"/>
      <c r="Q8" s="3"/>
      <c r="R8" s="3"/>
      <c r="T8" s="16"/>
      <c r="U8" s="3"/>
      <c r="V8" s="3"/>
      <c r="W8" s="3"/>
      <c r="X8" s="19"/>
    </row>
    <row r="9" spans="3:24">
      <c r="C9" s="1" t="s">
        <v>77</v>
      </c>
      <c r="D9" s="9">
        <f>D10/D8</f>
        <v>4</v>
      </c>
      <c r="G9" s="1" t="s">
        <v>133</v>
      </c>
      <c r="H9" s="9">
        <f>H10/H8</f>
        <v>28.000000000000007</v>
      </c>
    </row>
    <row r="10" spans="3:24">
      <c r="C10" s="1" t="s">
        <v>84</v>
      </c>
      <c r="D10" s="9">
        <v>0.36</v>
      </c>
      <c r="G10" s="1" t="s">
        <v>84</v>
      </c>
      <c r="H10" s="9">
        <f>2.4*14*0.001</f>
        <v>3.3600000000000005E-2</v>
      </c>
    </row>
    <row r="11" spans="3:24">
      <c r="K11" s="1" t="s">
        <v>84</v>
      </c>
      <c r="L11" s="1">
        <v>3.6</v>
      </c>
    </row>
    <row r="12" spans="3:24">
      <c r="C12" s="1" t="s">
        <v>134</v>
      </c>
      <c r="D12" s="1">
        <v>12.5</v>
      </c>
      <c r="G12" s="1" t="s">
        <v>134</v>
      </c>
      <c r="H12" s="1">
        <v>8</v>
      </c>
      <c r="K12" s="1" t="s">
        <v>135</v>
      </c>
      <c r="L12" s="1">
        <f>18.2/2</f>
        <v>9.1</v>
      </c>
    </row>
    <row r="13" spans="3:24">
      <c r="C13" s="1" t="s">
        <v>136</v>
      </c>
      <c r="D13" s="1">
        <v>40</v>
      </c>
      <c r="G13" s="1" t="s">
        <v>136</v>
      </c>
      <c r="H13" s="1">
        <v>11.5</v>
      </c>
      <c r="K13" s="1" t="s">
        <v>136</v>
      </c>
      <c r="L13" s="1">
        <v>65</v>
      </c>
    </row>
    <row r="15" spans="3:24">
      <c r="C15" s="1" t="s">
        <v>93</v>
      </c>
      <c r="D15" s="31">
        <f>PI()*(D12^2)*D13/1000000</f>
        <v>1.963495408493621E-2</v>
      </c>
      <c r="G15" s="1" t="s">
        <v>93</v>
      </c>
      <c r="H15" s="31">
        <f>PI()*(H12^2)*H13/1000000</f>
        <v>2.3122121930420876E-3</v>
      </c>
      <c r="K15" s="1" t="s">
        <v>93</v>
      </c>
      <c r="L15" s="33">
        <f>PI()*(L12^2)*L13/1000000</f>
        <v>1.69100936968451E-2</v>
      </c>
    </row>
    <row r="19" spans="3:12">
      <c r="C19" s="1" t="s">
        <v>66</v>
      </c>
      <c r="G19" s="1" t="s">
        <v>66</v>
      </c>
      <c r="K19" s="1" t="s">
        <v>66</v>
      </c>
    </row>
    <row r="20" spans="3:12">
      <c r="C20" s="81" t="s">
        <v>34</v>
      </c>
      <c r="D20" s="82">
        <v>750</v>
      </c>
      <c r="G20" s="81" t="s">
        <v>34</v>
      </c>
      <c r="H20" s="82">
        <v>750</v>
      </c>
      <c r="K20" s="81" t="s">
        <v>34</v>
      </c>
      <c r="L20" s="82">
        <v>750</v>
      </c>
    </row>
    <row r="21" spans="3:12" ht="15.75" customHeight="1">
      <c r="C21" s="1" t="s">
        <v>35</v>
      </c>
      <c r="D21" s="84">
        <f>2.4</f>
        <v>2.4</v>
      </c>
      <c r="G21" s="1" t="s">
        <v>35</v>
      </c>
      <c r="H21" s="84">
        <f>2.4</f>
        <v>2.4</v>
      </c>
      <c r="K21" s="1" t="s">
        <v>35</v>
      </c>
      <c r="L21" s="84">
        <f>2.3</f>
        <v>2.2999999999999998</v>
      </c>
    </row>
    <row r="22" spans="3:12" ht="15.75" customHeight="1">
      <c r="C22" s="12" t="s">
        <v>175</v>
      </c>
      <c r="D22" s="1">
        <f>ROUNDUP(D20/D21,0)</f>
        <v>313</v>
      </c>
      <c r="G22" s="12" t="s">
        <v>175</v>
      </c>
      <c r="H22" s="1">
        <f>ROUNDUP(H20/H21,0)</f>
        <v>313</v>
      </c>
      <c r="K22" s="12" t="s">
        <v>175</v>
      </c>
      <c r="L22" s="1">
        <f>ROUNDUP(L20/L21,0)</f>
        <v>327</v>
      </c>
    </row>
    <row r="23" spans="3:12" ht="15.75" customHeight="1">
      <c r="C23" s="1" t="s">
        <v>37</v>
      </c>
      <c r="D23" s="85">
        <f>D10</f>
        <v>0.36</v>
      </c>
      <c r="G23" s="1" t="s">
        <v>37</v>
      </c>
      <c r="H23" s="85">
        <f>H10</f>
        <v>3.3600000000000005E-2</v>
      </c>
      <c r="K23" s="1" t="s">
        <v>37</v>
      </c>
      <c r="L23" s="84">
        <f>L11</f>
        <v>3.6</v>
      </c>
    </row>
    <row r="24" spans="3:12" ht="15.75" customHeight="1">
      <c r="C24" s="12" t="s">
        <v>38</v>
      </c>
      <c r="D24" s="23">
        <f>D23*D22</f>
        <v>112.67999999999999</v>
      </c>
      <c r="G24" s="12" t="s">
        <v>38</v>
      </c>
      <c r="H24" s="9">
        <f>H23*H22</f>
        <v>10.516800000000002</v>
      </c>
      <c r="K24" s="12" t="s">
        <v>38</v>
      </c>
      <c r="L24" s="1">
        <f>L23*L22</f>
        <v>1177.2</v>
      </c>
    </row>
    <row r="25" spans="3:12" ht="15.75" customHeight="1">
      <c r="C25" s="81" t="s">
        <v>39</v>
      </c>
      <c r="D25" s="81">
        <v>2800000</v>
      </c>
      <c r="G25" s="81" t="s">
        <v>39</v>
      </c>
      <c r="H25" s="81">
        <v>2800000</v>
      </c>
      <c r="K25" s="81" t="s">
        <v>39</v>
      </c>
      <c r="L25" s="81">
        <v>2800000</v>
      </c>
    </row>
    <row r="26" spans="3:12" ht="15.75" customHeight="1">
      <c r="C26" s="12" t="s">
        <v>40</v>
      </c>
      <c r="D26" s="1">
        <f>ROUNDUP(D25/D24,0)</f>
        <v>24850</v>
      </c>
      <c r="G26" s="12" t="s">
        <v>40</v>
      </c>
      <c r="H26" s="1">
        <f>ROUNDUP(H25/H24,0)</f>
        <v>266241</v>
      </c>
      <c r="K26" s="12" t="s">
        <v>40</v>
      </c>
      <c r="L26" s="1">
        <f>ROUNDUP(L25/L24,0)</f>
        <v>2379</v>
      </c>
    </row>
    <row r="27" spans="3:12" ht="15.75" customHeight="1">
      <c r="C27" s="1" t="s">
        <v>41</v>
      </c>
      <c r="D27" s="1">
        <v>0.15</v>
      </c>
      <c r="G27" s="1" t="s">
        <v>41</v>
      </c>
      <c r="H27" s="1">
        <v>1.4E-2</v>
      </c>
      <c r="K27" s="1" t="s">
        <v>41</v>
      </c>
      <c r="L27" s="1">
        <v>1.5</v>
      </c>
    </row>
    <row r="28" spans="3:12" ht="15.75" customHeight="1">
      <c r="C28" s="12" t="s">
        <v>42</v>
      </c>
      <c r="D28" s="1">
        <f>D27*D26</f>
        <v>3727.5</v>
      </c>
      <c r="G28" s="12" t="s">
        <v>42</v>
      </c>
      <c r="H28" s="1">
        <f>H27*H26</f>
        <v>3727.3740000000003</v>
      </c>
      <c r="K28" s="12" t="s">
        <v>42</v>
      </c>
      <c r="L28" s="1">
        <f>L27*L26</f>
        <v>3568.5</v>
      </c>
    </row>
    <row r="29" spans="3:12" ht="15.75" customHeight="1">
      <c r="C29" s="14" t="s">
        <v>176</v>
      </c>
      <c r="D29" s="1">
        <f>D22*D26</f>
        <v>7778050</v>
      </c>
      <c r="G29" s="14" t="s">
        <v>176</v>
      </c>
      <c r="H29" s="1">
        <f>H22*H26</f>
        <v>83333433</v>
      </c>
      <c r="K29" s="14" t="s">
        <v>176</v>
      </c>
      <c r="L29" s="1">
        <f>L22*L26</f>
        <v>777933</v>
      </c>
    </row>
    <row r="30" spans="3:12" ht="15.75" customHeight="1"/>
    <row r="31" spans="3:12" ht="15.75" customHeight="1">
      <c r="C31" t="s">
        <v>44</v>
      </c>
      <c r="D31" s="1">
        <f>D8</f>
        <v>0.09</v>
      </c>
      <c r="G31" t="s">
        <v>44</v>
      </c>
      <c r="H31" s="1">
        <v>1.1999999999999999E-3</v>
      </c>
      <c r="K31" t="s">
        <v>44</v>
      </c>
      <c r="L31" s="1">
        <f>L8</f>
        <v>4.5999999999999999E-2</v>
      </c>
    </row>
    <row r="32" spans="3:12" ht="15.75" customHeight="1">
      <c r="C32" s="12" t="s">
        <v>45</v>
      </c>
      <c r="D32" s="23">
        <f>D29*D31</f>
        <v>700024.5</v>
      </c>
      <c r="G32" s="12" t="s">
        <v>45</v>
      </c>
      <c r="H32" s="23">
        <f>H29*H31</f>
        <v>100000.11959999999</v>
      </c>
      <c r="K32" s="12" t="s">
        <v>45</v>
      </c>
      <c r="L32" s="1">
        <f>L29*L31</f>
        <v>35784.917999999998</v>
      </c>
    </row>
    <row r="33" spans="3:13" ht="15.75" customHeight="1">
      <c r="C33" t="s">
        <v>177</v>
      </c>
      <c r="D33" s="34">
        <f>D15/1000</f>
        <v>1.963495408493621E-5</v>
      </c>
      <c r="G33" t="s">
        <v>177</v>
      </c>
      <c r="H33" s="1">
        <f>H15/1000</f>
        <v>2.3122121930420875E-6</v>
      </c>
      <c r="K33" t="s">
        <v>177</v>
      </c>
      <c r="L33" s="86">
        <f>L15/1000</f>
        <v>1.6910093696845098E-5</v>
      </c>
    </row>
    <row r="34" spans="3:13" ht="15.75" customHeight="1">
      <c r="C34" s="12" t="s">
        <v>47</v>
      </c>
      <c r="D34" s="9">
        <f>D29*D33</f>
        <v>152.72165462033809</v>
      </c>
      <c r="G34" s="12" t="s">
        <v>47</v>
      </c>
      <c r="H34" s="21">
        <f>H29*H33</f>
        <v>192.68457987065585</v>
      </c>
      <c r="K34" s="12" t="s">
        <v>47</v>
      </c>
      <c r="L34" s="1">
        <f>L29*L33</f>
        <v>13.154919919867798</v>
      </c>
    </row>
    <row r="35" spans="3:13" ht="15.75" customHeight="1"/>
    <row r="36" spans="3:13" ht="15.75" customHeight="1">
      <c r="C36" s="1" t="s">
        <v>53</v>
      </c>
      <c r="D36" s="1">
        <f>D39/D27</f>
        <v>1</v>
      </c>
      <c r="G36" s="1" t="s">
        <v>53</v>
      </c>
      <c r="H36" s="1">
        <f>H39/H27</f>
        <v>1</v>
      </c>
      <c r="K36" s="1" t="s">
        <v>53</v>
      </c>
      <c r="L36" s="1">
        <f>L39/L27</f>
        <v>2</v>
      </c>
    </row>
    <row r="37" spans="3:13" ht="15.75" customHeight="1">
      <c r="C37" s="1" t="s">
        <v>54</v>
      </c>
      <c r="D37" s="23">
        <f>D40/D27</f>
        <v>1</v>
      </c>
      <c r="G37" s="1" t="s">
        <v>54</v>
      </c>
      <c r="H37" s="4">
        <f>H40/H27</f>
        <v>0.5</v>
      </c>
      <c r="K37" s="1" t="s">
        <v>54</v>
      </c>
      <c r="L37" s="23">
        <f>L40/L27</f>
        <v>1</v>
      </c>
    </row>
    <row r="38" spans="3:13" ht="15.75" customHeight="1">
      <c r="C38" s="1" t="s">
        <v>55</v>
      </c>
      <c r="D38" s="23">
        <f>D41/D27</f>
        <v>20</v>
      </c>
      <c r="G38" s="1" t="s">
        <v>55</v>
      </c>
      <c r="H38" s="23">
        <f>H41/H27</f>
        <v>20</v>
      </c>
      <c r="K38" s="1" t="s">
        <v>55</v>
      </c>
      <c r="L38" s="23">
        <f>L41/L27</f>
        <v>8</v>
      </c>
    </row>
    <row r="39" spans="3:13" ht="15.75" customHeight="1">
      <c r="C39" s="32" t="s">
        <v>50</v>
      </c>
      <c r="D39" s="1">
        <f>0.15</f>
        <v>0.15</v>
      </c>
      <c r="G39" s="32" t="s">
        <v>50</v>
      </c>
      <c r="H39" s="1">
        <f>0.014</f>
        <v>1.4E-2</v>
      </c>
      <c r="K39" s="32" t="s">
        <v>50</v>
      </c>
      <c r="L39" s="1">
        <f>3</f>
        <v>3</v>
      </c>
    </row>
    <row r="40" spans="3:13" ht="15.75" customHeight="1">
      <c r="C40" s="32" t="s">
        <v>51</v>
      </c>
      <c r="D40" s="1">
        <f>0.15</f>
        <v>0.15</v>
      </c>
      <c r="G40" s="32" t="s">
        <v>51</v>
      </c>
      <c r="H40" s="1">
        <f>0.007</f>
        <v>7.0000000000000001E-3</v>
      </c>
      <c r="K40" s="32" t="s">
        <v>51</v>
      </c>
      <c r="L40" s="1">
        <f>1.5</f>
        <v>1.5</v>
      </c>
    </row>
    <row r="41" spans="3:13" ht="15.75" customHeight="1">
      <c r="C41" s="32" t="s">
        <v>120</v>
      </c>
      <c r="D41" s="1">
        <f>3</f>
        <v>3</v>
      </c>
      <c r="G41" s="32" t="s">
        <v>120</v>
      </c>
      <c r="H41" s="1">
        <f>0.28</f>
        <v>0.28000000000000003</v>
      </c>
      <c r="K41" s="32" t="s">
        <v>120</v>
      </c>
      <c r="L41" s="1">
        <f>12</f>
        <v>12</v>
      </c>
    </row>
    <row r="42" spans="3:13" ht="15.75" customHeight="1">
      <c r="C42" s="12" t="s">
        <v>56</v>
      </c>
      <c r="D42" s="87">
        <f>D41*1</f>
        <v>3</v>
      </c>
      <c r="G42" s="12" t="s">
        <v>56</v>
      </c>
      <c r="H42" s="87">
        <f>H41</f>
        <v>0.28000000000000003</v>
      </c>
      <c r="K42" s="12" t="s">
        <v>56</v>
      </c>
      <c r="L42" s="87">
        <f>L41</f>
        <v>12</v>
      </c>
    </row>
    <row r="43" spans="3:13" ht="15.75" customHeight="1">
      <c r="C43" s="12" t="s">
        <v>57</v>
      </c>
      <c r="D43" s="87">
        <f>D42*D26</f>
        <v>74550</v>
      </c>
      <c r="E43">
        <f>D43/1000</f>
        <v>74.55</v>
      </c>
      <c r="G43" s="12" t="s">
        <v>57</v>
      </c>
      <c r="H43" s="87">
        <f>H42*H26</f>
        <v>74547.48000000001</v>
      </c>
      <c r="K43" s="12" t="s">
        <v>57</v>
      </c>
      <c r="L43" s="87">
        <f>L42*L26</f>
        <v>28548</v>
      </c>
      <c r="M43">
        <f>L43/1000</f>
        <v>28.547999999999998</v>
      </c>
    </row>
    <row r="44" spans="3:13" ht="15.75" customHeight="1">
      <c r="C44" s="12" t="s">
        <v>105</v>
      </c>
      <c r="D44" s="87">
        <f>D43*D20/1000</f>
        <v>55912.5</v>
      </c>
      <c r="E44">
        <f>D44/1000</f>
        <v>55.912500000000001</v>
      </c>
      <c r="G44" s="12" t="s">
        <v>105</v>
      </c>
      <c r="H44" s="87">
        <f>H43*H20/1000</f>
        <v>55910.610000000008</v>
      </c>
      <c r="K44" s="89" t="s">
        <v>105</v>
      </c>
      <c r="L44" s="87">
        <f>L43*L20/1000</f>
        <v>21411</v>
      </c>
      <c r="M44">
        <f>L44/1000</f>
        <v>21.411000000000001</v>
      </c>
    </row>
    <row r="45" spans="3:13" ht="15.75" customHeight="1">
      <c r="C45" s="12" t="s">
        <v>59</v>
      </c>
      <c r="D45" s="1">
        <f>D39</f>
        <v>0.15</v>
      </c>
      <c r="G45" s="12" t="s">
        <v>59</v>
      </c>
      <c r="H45" s="1">
        <f>H39</f>
        <v>1.4E-2</v>
      </c>
      <c r="K45" s="12" t="s">
        <v>59</v>
      </c>
      <c r="L45" s="1">
        <f>L39</f>
        <v>3</v>
      </c>
    </row>
    <row r="46" spans="3:13" ht="15.75" customHeight="1">
      <c r="C46" s="12" t="s">
        <v>60</v>
      </c>
      <c r="D46" s="1">
        <f>D45*D26</f>
        <v>3727.5</v>
      </c>
      <c r="G46" s="12" t="s">
        <v>60</v>
      </c>
      <c r="H46" s="1">
        <f>H45*H26</f>
        <v>3727.3740000000003</v>
      </c>
      <c r="K46" s="12" t="s">
        <v>60</v>
      </c>
      <c r="L46" s="1">
        <f>L45*L26</f>
        <v>7137</v>
      </c>
    </row>
    <row r="47" spans="3:13" ht="15.75" customHeight="1">
      <c r="C47" s="12" t="s">
        <v>61</v>
      </c>
      <c r="D47" s="1">
        <f>D46*D20/1000</f>
        <v>2795.625</v>
      </c>
      <c r="G47" s="12" t="s">
        <v>61</v>
      </c>
      <c r="H47" s="1">
        <f>H46*H20/1000</f>
        <v>2795.5304999999998</v>
      </c>
      <c r="K47" s="12" t="s">
        <v>61</v>
      </c>
      <c r="L47" s="1">
        <f>L46*L20/1000</f>
        <v>5352.75</v>
      </c>
    </row>
    <row r="48" spans="3:13" ht="15.75" customHeight="1">
      <c r="C48" s="12" t="s">
        <v>62</v>
      </c>
      <c r="D48" s="87">
        <f>D40</f>
        <v>0.15</v>
      </c>
      <c r="G48" s="12" t="s">
        <v>62</v>
      </c>
      <c r="H48" s="87">
        <f>H40</f>
        <v>7.0000000000000001E-3</v>
      </c>
      <c r="K48" s="12" t="s">
        <v>62</v>
      </c>
      <c r="L48" s="87">
        <f>L40</f>
        <v>1.5</v>
      </c>
    </row>
    <row r="49" spans="3:13" ht="15.75" customHeight="1">
      <c r="C49" s="12" t="s">
        <v>63</v>
      </c>
      <c r="D49" s="87">
        <f>D48*D26</f>
        <v>3727.5</v>
      </c>
      <c r="E49">
        <f>D49/1000</f>
        <v>3.7275</v>
      </c>
      <c r="G49" s="12" t="s">
        <v>63</v>
      </c>
      <c r="H49" s="87">
        <f>H48*H26</f>
        <v>1863.6870000000001</v>
      </c>
      <c r="K49" s="12" t="s">
        <v>63</v>
      </c>
      <c r="L49" s="87">
        <f>L48*L26</f>
        <v>3568.5</v>
      </c>
      <c r="M49">
        <f>L49/1000</f>
        <v>3.5684999999999998</v>
      </c>
    </row>
    <row r="50" spans="3:13" ht="15.75" customHeight="1">
      <c r="C50" s="12" t="s">
        <v>106</v>
      </c>
      <c r="D50" s="87">
        <f>D49*D20/1000</f>
        <v>2795.625</v>
      </c>
      <c r="E50">
        <f>D50/1000</f>
        <v>2.7956249999999998</v>
      </c>
      <c r="G50" s="12" t="s">
        <v>106</v>
      </c>
      <c r="H50" s="87">
        <f>H49*H20/1000</f>
        <v>1397.7652499999999</v>
      </c>
      <c r="K50" s="12" t="s">
        <v>106</v>
      </c>
      <c r="L50" s="87">
        <f>L49*L20/1000</f>
        <v>2676.375</v>
      </c>
      <c r="M50">
        <f>L50/1000</f>
        <v>2.6763750000000002</v>
      </c>
    </row>
    <row r="51" spans="3:13" ht="15.75" customHeight="1"/>
    <row r="52" spans="3:13" ht="15.75" customHeight="1"/>
    <row r="53" spans="3:13" ht="15.75" customHeight="1"/>
    <row r="54" spans="3:13" ht="15.75" customHeight="1"/>
    <row r="55" spans="3:13" ht="15.75" customHeight="1"/>
    <row r="56" spans="3:13" ht="15.75" customHeight="1"/>
    <row r="57" spans="3:13" ht="15.75" customHeight="1"/>
    <row r="58" spans="3:13" ht="15.75" customHeight="1"/>
    <row r="59" spans="3:13" ht="15.75" customHeight="1"/>
    <row r="60" spans="3:13" ht="15.75" customHeight="1"/>
    <row r="61" spans="3:13" ht="15.75" customHeight="1"/>
    <row r="62" spans="3:13" ht="15.75" customHeight="1"/>
    <row r="63" spans="3:13" ht="15.75" customHeight="1"/>
    <row r="64" spans="3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C3:AJ1000"/>
  <sheetViews>
    <sheetView topLeftCell="W16" zoomScale="130" zoomScaleNormal="130" workbookViewId="0">
      <selection activeCell="AL26" sqref="AL26"/>
    </sheetView>
  </sheetViews>
  <sheetFormatPr baseColWidth="10" defaultColWidth="12.5703125" defaultRowHeight="15" customHeight="1"/>
  <cols>
    <col min="1" max="2" width="10.5703125" customWidth="1"/>
    <col min="3" max="3" width="25.42578125" customWidth="1"/>
    <col min="4" max="5" width="10.5703125" customWidth="1"/>
    <col min="6" max="6" width="14" customWidth="1"/>
    <col min="7" max="10" width="10.5703125" customWidth="1"/>
    <col min="11" max="11" width="22.7109375" customWidth="1"/>
    <col min="12" max="12" width="14.5703125" customWidth="1"/>
    <col min="13" max="13" width="15.5703125" customWidth="1"/>
    <col min="14" max="14" width="13.5703125" customWidth="1"/>
    <col min="15" max="15" width="14.5703125" customWidth="1"/>
    <col min="16" max="18" width="10.5703125" customWidth="1"/>
    <col min="19" max="19" width="22.7109375" customWidth="1"/>
    <col min="20" max="20" width="10.5703125" bestFit="1" customWidth="1"/>
    <col min="21" max="22" width="12" customWidth="1"/>
    <col min="23" max="23" width="13" customWidth="1"/>
    <col min="24" max="26" width="10.5703125" customWidth="1"/>
    <col min="27" max="27" width="22.7109375" customWidth="1"/>
    <col min="28" max="28" width="8.28515625" customWidth="1"/>
    <col min="29" max="29" width="11.5703125" customWidth="1"/>
    <col min="30" max="30" width="9.7109375" bestFit="1" customWidth="1"/>
    <col min="31" max="31" width="13.28515625" customWidth="1"/>
    <col min="32" max="32" width="10.5703125" customWidth="1"/>
    <col min="33" max="33" width="20.140625" bestFit="1" customWidth="1"/>
    <col min="34" max="34" width="10.5703125" customWidth="1"/>
  </cols>
  <sheetData>
    <row r="3" spans="3:36">
      <c r="C3" s="105" t="s">
        <v>110</v>
      </c>
      <c r="D3" s="108"/>
      <c r="E3" s="108"/>
      <c r="F3" s="108"/>
      <c r="G3" s="109"/>
      <c r="K3" s="105" t="s">
        <v>65</v>
      </c>
      <c r="L3" s="106"/>
      <c r="M3" s="106"/>
      <c r="N3" s="106"/>
      <c r="O3" s="107"/>
      <c r="S3" s="105" t="s">
        <v>121</v>
      </c>
      <c r="T3" s="106"/>
      <c r="U3" s="106"/>
      <c r="V3" s="106"/>
      <c r="W3" s="107"/>
      <c r="AA3" s="105" t="s">
        <v>137</v>
      </c>
      <c r="AB3" s="106"/>
      <c r="AC3" s="106"/>
      <c r="AD3" s="106"/>
      <c r="AE3" s="107"/>
      <c r="AG3" s="105" t="s">
        <v>137</v>
      </c>
      <c r="AH3" s="106"/>
      <c r="AI3" s="106"/>
      <c r="AJ3" s="107"/>
    </row>
    <row r="4" spans="3:36">
      <c r="C4" s="35"/>
      <c r="D4" s="36" t="s">
        <v>113</v>
      </c>
      <c r="E4" s="36" t="s">
        <v>114</v>
      </c>
      <c r="F4" s="36" t="s">
        <v>112</v>
      </c>
      <c r="G4" s="36" t="s">
        <v>116</v>
      </c>
      <c r="K4" s="35"/>
      <c r="L4" s="37" t="s">
        <v>70</v>
      </c>
      <c r="M4" s="37" t="s">
        <v>71</v>
      </c>
      <c r="N4" s="37" t="s">
        <v>72</v>
      </c>
      <c r="O4" s="36" t="s">
        <v>76</v>
      </c>
      <c r="S4" s="37"/>
      <c r="T4" s="37" t="s">
        <v>125</v>
      </c>
      <c r="U4" s="37" t="s">
        <v>126</v>
      </c>
      <c r="V4" s="37" t="s">
        <v>127</v>
      </c>
      <c r="W4" s="36" t="s">
        <v>131</v>
      </c>
      <c r="AA4" s="35"/>
      <c r="AB4" s="36" t="s">
        <v>116</v>
      </c>
      <c r="AC4" s="36" t="s">
        <v>76</v>
      </c>
      <c r="AD4" s="36" t="s">
        <v>131</v>
      </c>
      <c r="AE4" s="36" t="s">
        <v>115</v>
      </c>
      <c r="AG4" s="35"/>
      <c r="AH4" s="36" t="s">
        <v>116</v>
      </c>
      <c r="AI4" s="36" t="s">
        <v>76</v>
      </c>
      <c r="AJ4" s="36" t="s">
        <v>115</v>
      </c>
    </row>
    <row r="5" spans="3:36">
      <c r="C5" s="35" t="s">
        <v>74</v>
      </c>
      <c r="D5" s="38">
        <v>1000</v>
      </c>
      <c r="E5" s="38">
        <v>1000</v>
      </c>
      <c r="F5" s="90">
        <v>2000</v>
      </c>
      <c r="G5" s="39">
        <f>SUM(D5:F5)/3</f>
        <v>1333.3333333333333</v>
      </c>
      <c r="K5" s="35" t="s">
        <v>74</v>
      </c>
      <c r="L5" s="35">
        <v>1500</v>
      </c>
      <c r="M5" s="35">
        <v>2000</v>
      </c>
      <c r="N5" s="91">
        <v>4000</v>
      </c>
      <c r="O5" s="35">
        <f>SUM(L5:N5)/3</f>
        <v>2500</v>
      </c>
      <c r="S5" s="35" t="s">
        <v>74</v>
      </c>
      <c r="T5" s="92">
        <v>20000</v>
      </c>
      <c r="U5" s="39">
        <v>10000</v>
      </c>
      <c r="V5" s="39">
        <v>10000</v>
      </c>
      <c r="W5" s="39">
        <f>SUM(T5:V5)/3</f>
        <v>13333.333333333334</v>
      </c>
      <c r="AA5" s="35" t="s">
        <v>179</v>
      </c>
      <c r="AB5" s="39">
        <v>1333.3333333333333</v>
      </c>
      <c r="AC5" s="35">
        <v>2500</v>
      </c>
      <c r="AD5" s="92">
        <v>13333.333333333334</v>
      </c>
      <c r="AE5" s="39">
        <f>SUM(AB5:AD5)/3</f>
        <v>5722.2222222222226</v>
      </c>
      <c r="AG5" s="35" t="s">
        <v>179</v>
      </c>
      <c r="AH5" s="39">
        <v>1333.3333333333333</v>
      </c>
      <c r="AI5" s="91">
        <v>2500</v>
      </c>
      <c r="AJ5" s="39">
        <f>SUM(AH5:AI5)/2</f>
        <v>1916.6666666666665</v>
      </c>
    </row>
    <row r="6" spans="3:36">
      <c r="C6" s="35" t="s">
        <v>117</v>
      </c>
      <c r="D6" s="90">
        <f>NMC!D29</f>
        <v>23373</v>
      </c>
      <c r="E6" s="38">
        <f>NMC!G29</f>
        <v>7812</v>
      </c>
      <c r="F6" s="38">
        <f>NMC!J29</f>
        <v>6600</v>
      </c>
      <c r="G6" s="39">
        <f t="shared" ref="G6:G9" si="0">SUM(D6:F6)/3</f>
        <v>12595</v>
      </c>
      <c r="K6" s="35" t="s">
        <v>117</v>
      </c>
      <c r="L6" s="91">
        <f>LFP!D29</f>
        <v>28910</v>
      </c>
      <c r="M6" s="35">
        <f>LFP!H29</f>
        <v>4425</v>
      </c>
      <c r="N6" s="35">
        <f>LFP!L29</f>
        <v>1460</v>
      </c>
      <c r="O6" s="39">
        <f t="shared" ref="O6:O9" si="1">SUM(L6:N6)/3</f>
        <v>11598.333333333334</v>
      </c>
      <c r="S6" s="35" t="s">
        <v>117</v>
      </c>
      <c r="T6" s="39">
        <f>LTO!D29</f>
        <v>7778050</v>
      </c>
      <c r="U6" s="92">
        <f>LTO!H29</f>
        <v>83333433</v>
      </c>
      <c r="V6" s="39">
        <f>LTO!L29</f>
        <v>777933</v>
      </c>
      <c r="W6" s="39">
        <f t="shared" ref="W6:W9" si="2">SUM(T6:V6)/3</f>
        <v>30629805.333333332</v>
      </c>
      <c r="AA6" s="35" t="s">
        <v>180</v>
      </c>
      <c r="AB6" s="39">
        <v>12595</v>
      </c>
      <c r="AC6" s="39">
        <v>11598.333333333334</v>
      </c>
      <c r="AD6" s="92">
        <v>30629805.333333332</v>
      </c>
      <c r="AE6" s="39">
        <f t="shared" ref="AE6:AE9" si="3">SUM(AB6:AD6)/3</f>
        <v>10217999.555555554</v>
      </c>
      <c r="AG6" s="35" t="s">
        <v>180</v>
      </c>
      <c r="AH6" s="92">
        <v>12595</v>
      </c>
      <c r="AI6" s="39">
        <v>11598.333333333334</v>
      </c>
      <c r="AJ6" s="39">
        <f t="shared" ref="AJ6:AJ9" si="4">SUM(AH6:AI6)/2</f>
        <v>12096.666666666668</v>
      </c>
    </row>
    <row r="7" spans="3:36">
      <c r="C7" s="35" t="s">
        <v>118</v>
      </c>
      <c r="D7" s="90">
        <f>NMC!D32</f>
        <v>18698.400000000001</v>
      </c>
      <c r="E7" s="38">
        <f>NMC!G32</f>
        <v>16405.2</v>
      </c>
      <c r="F7" s="38">
        <f>NMC!J32</f>
        <v>3143</v>
      </c>
      <c r="G7" s="39">
        <f t="shared" si="0"/>
        <v>12748.866666666669</v>
      </c>
      <c r="K7" s="35" t="s">
        <v>118</v>
      </c>
      <c r="L7" s="91">
        <f>LFP!D32</f>
        <v>28910</v>
      </c>
      <c r="M7" s="39">
        <f>LFP!H32</f>
        <v>27877.5</v>
      </c>
      <c r="N7" s="35">
        <f>LFP!L32</f>
        <v>27302</v>
      </c>
      <c r="O7" s="39">
        <f t="shared" si="1"/>
        <v>28029.833333333332</v>
      </c>
      <c r="S7" s="35" t="s">
        <v>118</v>
      </c>
      <c r="T7" s="92">
        <f>LTO!D32</f>
        <v>700024.5</v>
      </c>
      <c r="U7" s="39">
        <f>LTO!H32</f>
        <v>100000.11959999999</v>
      </c>
      <c r="V7" s="39">
        <f>LTO!L32</f>
        <v>35784.917999999998</v>
      </c>
      <c r="W7" s="39">
        <f t="shared" si="2"/>
        <v>278603.17919999996</v>
      </c>
      <c r="AA7" s="35" t="s">
        <v>118</v>
      </c>
      <c r="AB7" s="39">
        <v>12748.866666666669</v>
      </c>
      <c r="AC7" s="39">
        <v>28029.833333333332</v>
      </c>
      <c r="AD7" s="92">
        <v>278603.17919999996</v>
      </c>
      <c r="AE7" s="39">
        <f t="shared" si="3"/>
        <v>106460.62639999999</v>
      </c>
      <c r="AG7" s="35" t="s">
        <v>118</v>
      </c>
      <c r="AH7" s="39">
        <v>12748.866666666669</v>
      </c>
      <c r="AI7" s="92">
        <v>28029.833333333332</v>
      </c>
      <c r="AJ7" s="39">
        <f t="shared" si="4"/>
        <v>20389.349999999999</v>
      </c>
    </row>
    <row r="8" spans="3:36">
      <c r="C8" s="35" t="s">
        <v>92</v>
      </c>
      <c r="D8" s="38">
        <f>NMC!D34</f>
        <v>11.452769999999999</v>
      </c>
      <c r="E8" s="38">
        <f>NMC!G34</f>
        <v>8.8041239999999998</v>
      </c>
      <c r="F8" s="90">
        <f>NMC!J34</f>
        <v>28.108560239999999</v>
      </c>
      <c r="G8" s="39">
        <f t="shared" si="0"/>
        <v>16.121818080000001</v>
      </c>
      <c r="K8" s="35" t="s">
        <v>92</v>
      </c>
      <c r="L8" s="92">
        <f>LFP!D34</f>
        <v>26.278033600000001</v>
      </c>
      <c r="M8" s="39">
        <f>LFP!H34</f>
        <v>24.735750000000003</v>
      </c>
      <c r="N8" s="39">
        <f>LFP!L34</f>
        <v>17.2864</v>
      </c>
      <c r="O8" s="39">
        <f t="shared" si="1"/>
        <v>22.766727866666667</v>
      </c>
      <c r="S8" s="35" t="s">
        <v>92</v>
      </c>
      <c r="T8" s="39">
        <f>LTO!D34</f>
        <v>152.72165462033809</v>
      </c>
      <c r="U8" s="92">
        <f>LTO!H34</f>
        <v>192.68457987065585</v>
      </c>
      <c r="V8" s="39">
        <f>LTO!L34</f>
        <v>13.154919919867798</v>
      </c>
      <c r="W8" s="39">
        <f t="shared" si="2"/>
        <v>119.52038480362057</v>
      </c>
      <c r="AA8" s="35" t="s">
        <v>92</v>
      </c>
      <c r="AB8" s="39">
        <v>16.121818080000001</v>
      </c>
      <c r="AC8" s="39">
        <v>22.766727866666667</v>
      </c>
      <c r="AD8" s="92">
        <v>119.52038480362057</v>
      </c>
      <c r="AE8" s="39">
        <f t="shared" si="3"/>
        <v>52.802976916762418</v>
      </c>
      <c r="AG8" s="35" t="s">
        <v>92</v>
      </c>
      <c r="AH8" s="39">
        <v>16.121818080000001</v>
      </c>
      <c r="AI8" s="92">
        <v>22.766727866666667</v>
      </c>
      <c r="AJ8" s="39">
        <f t="shared" si="4"/>
        <v>19.444272973333334</v>
      </c>
    </row>
    <row r="9" spans="3:36">
      <c r="C9" s="35" t="s">
        <v>78</v>
      </c>
      <c r="D9" s="38">
        <f>NMC!D50</f>
        <v>1391.25</v>
      </c>
      <c r="E9" s="90">
        <f>NMC!G50</f>
        <v>2790</v>
      </c>
      <c r="F9" s="38">
        <f>NMC!J50</f>
        <v>2400</v>
      </c>
      <c r="G9" s="39">
        <f t="shared" si="0"/>
        <v>2193.75</v>
      </c>
      <c r="K9" s="35" t="s">
        <v>78</v>
      </c>
      <c r="L9" s="92">
        <f>LFP!D50</f>
        <v>5512.5</v>
      </c>
      <c r="M9" s="39">
        <f>LFP!H50</f>
        <v>2812.5</v>
      </c>
      <c r="N9" s="39">
        <f>LFP!L50</f>
        <v>2737.5</v>
      </c>
      <c r="O9" s="39">
        <f t="shared" si="1"/>
        <v>3687.5</v>
      </c>
      <c r="S9" s="35" t="s">
        <v>78</v>
      </c>
      <c r="T9" s="92">
        <f>LTO!D50</f>
        <v>2795.625</v>
      </c>
      <c r="U9" s="39">
        <f>LTO!H50</f>
        <v>1397.7652499999999</v>
      </c>
      <c r="V9" s="39">
        <f>LTO!L50</f>
        <v>2676.375</v>
      </c>
      <c r="W9" s="39">
        <f t="shared" si="2"/>
        <v>2289.92175</v>
      </c>
      <c r="AA9" s="35" t="s">
        <v>78</v>
      </c>
      <c r="AB9" s="39">
        <v>2193.75</v>
      </c>
      <c r="AC9" s="92">
        <v>3687.5</v>
      </c>
      <c r="AD9" s="39">
        <v>2289.92175</v>
      </c>
      <c r="AE9" s="39">
        <f t="shared" si="3"/>
        <v>2723.7239166666664</v>
      </c>
      <c r="AG9" s="35" t="s">
        <v>78</v>
      </c>
      <c r="AH9" s="39">
        <v>2193.75</v>
      </c>
      <c r="AI9" s="92">
        <v>3687.5</v>
      </c>
      <c r="AJ9" s="39">
        <f t="shared" si="4"/>
        <v>2940.625</v>
      </c>
    </row>
    <row r="13" spans="3:36">
      <c r="C13" s="105" t="s">
        <v>138</v>
      </c>
      <c r="D13" s="106"/>
      <c r="E13" s="106"/>
      <c r="F13" s="106"/>
      <c r="G13" s="107"/>
      <c r="K13" s="105" t="s">
        <v>140</v>
      </c>
      <c r="L13" s="106"/>
      <c r="M13" s="106"/>
      <c r="N13" s="106"/>
      <c r="O13" s="107"/>
      <c r="S13" s="105" t="s">
        <v>139</v>
      </c>
      <c r="T13" s="106"/>
      <c r="U13" s="106"/>
      <c r="V13" s="106"/>
      <c r="W13" s="107"/>
      <c r="AA13" s="105" t="s">
        <v>137</v>
      </c>
      <c r="AB13" s="106"/>
      <c r="AC13" s="106"/>
      <c r="AD13" s="106"/>
      <c r="AE13" s="107"/>
      <c r="AG13" s="105" t="s">
        <v>137</v>
      </c>
      <c r="AH13" s="106"/>
      <c r="AI13" s="106"/>
      <c r="AJ13" s="107"/>
    </row>
    <row r="14" spans="3:36">
      <c r="C14" s="35"/>
      <c r="D14" s="36" t="s">
        <v>113</v>
      </c>
      <c r="E14" s="36" t="s">
        <v>114</v>
      </c>
      <c r="F14" s="36" t="s">
        <v>112</v>
      </c>
      <c r="G14" s="36" t="s">
        <v>116</v>
      </c>
      <c r="K14" s="35"/>
      <c r="L14" s="37" t="s">
        <v>70</v>
      </c>
      <c r="M14" s="37" t="s">
        <v>71</v>
      </c>
      <c r="N14" s="37" t="s">
        <v>72</v>
      </c>
      <c r="O14" s="36" t="s">
        <v>76</v>
      </c>
      <c r="S14" s="37"/>
      <c r="T14" s="37" t="s">
        <v>125</v>
      </c>
      <c r="U14" s="37" t="s">
        <v>126</v>
      </c>
      <c r="V14" s="37" t="s">
        <v>127</v>
      </c>
      <c r="W14" s="36" t="s">
        <v>131</v>
      </c>
      <c r="AA14" s="35"/>
      <c r="AB14" s="36" t="s">
        <v>116</v>
      </c>
      <c r="AC14" s="36" t="s">
        <v>76</v>
      </c>
      <c r="AD14" s="36" t="s">
        <v>131</v>
      </c>
      <c r="AE14" s="36" t="s">
        <v>115</v>
      </c>
      <c r="AG14" s="35"/>
      <c r="AH14" s="36" t="s">
        <v>116</v>
      </c>
      <c r="AI14" s="36" t="s">
        <v>76</v>
      </c>
      <c r="AJ14" s="36" t="s">
        <v>115</v>
      </c>
    </row>
    <row r="15" spans="3:36">
      <c r="C15" s="35" t="s">
        <v>74</v>
      </c>
      <c r="D15" s="41">
        <f>D5/$F$5</f>
        <v>0.5</v>
      </c>
      <c r="E15" s="41">
        <f t="shared" ref="E15:G15" si="5">E5/$F$5</f>
        <v>0.5</v>
      </c>
      <c r="F15" s="90">
        <f t="shared" si="5"/>
        <v>1</v>
      </c>
      <c r="G15" s="41">
        <f t="shared" si="5"/>
        <v>0.66666666666666663</v>
      </c>
      <c r="K15" s="35" t="s">
        <v>74</v>
      </c>
      <c r="L15" s="40">
        <f>L5/$N$5</f>
        <v>0.375</v>
      </c>
      <c r="M15" s="40">
        <f t="shared" ref="M15:O15" si="6">M5/$N$5</f>
        <v>0.5</v>
      </c>
      <c r="N15" s="92">
        <f t="shared" si="6"/>
        <v>1</v>
      </c>
      <c r="O15" s="40">
        <f t="shared" si="6"/>
        <v>0.625</v>
      </c>
      <c r="S15" s="35" t="s">
        <v>74</v>
      </c>
      <c r="T15" s="92">
        <f>T5/$T$5</f>
        <v>1</v>
      </c>
      <c r="U15" s="40">
        <f t="shared" ref="U15:W15" si="7">U5/$T$5</f>
        <v>0.5</v>
      </c>
      <c r="V15" s="40">
        <f t="shared" si="7"/>
        <v>0.5</v>
      </c>
      <c r="W15" s="40">
        <f t="shared" si="7"/>
        <v>0.66666666666666674</v>
      </c>
      <c r="AA15" s="35" t="s">
        <v>179</v>
      </c>
      <c r="AB15" s="40">
        <f>AB5/$AD$5</f>
        <v>9.9999999999999992E-2</v>
      </c>
      <c r="AC15" s="40">
        <f t="shared" ref="AC15:AD15" si="8">AC5/$AD$5</f>
        <v>0.1875</v>
      </c>
      <c r="AD15" s="92">
        <f t="shared" si="8"/>
        <v>1</v>
      </c>
      <c r="AE15" s="40"/>
      <c r="AG15" s="35" t="s">
        <v>179</v>
      </c>
      <c r="AH15" s="40">
        <f>AH5/$AI$5</f>
        <v>0.53333333333333333</v>
      </c>
      <c r="AI15" s="92">
        <f t="shared" ref="AI15" si="9">AI5/$AI$5</f>
        <v>1</v>
      </c>
      <c r="AJ15" s="40"/>
    </row>
    <row r="16" spans="3:36">
      <c r="C16" s="35" t="s">
        <v>117</v>
      </c>
      <c r="D16" s="90">
        <f>D6/$D$6</f>
        <v>1</v>
      </c>
      <c r="E16" s="41">
        <f t="shared" ref="E16:G16" si="10">E6/$D$6</f>
        <v>0.33423180592991913</v>
      </c>
      <c r="F16" s="41">
        <f t="shared" si="10"/>
        <v>0.28237710178410985</v>
      </c>
      <c r="G16" s="41">
        <f t="shared" si="10"/>
        <v>0.53886963590467629</v>
      </c>
      <c r="K16" s="35" t="s">
        <v>117</v>
      </c>
      <c r="L16" s="92">
        <f>L6/$L$6</f>
        <v>1</v>
      </c>
      <c r="M16" s="40">
        <f t="shared" ref="M16:O16" si="11">M6/$L$6</f>
        <v>0.15306122448979592</v>
      </c>
      <c r="N16" s="40">
        <f t="shared" si="11"/>
        <v>5.0501556554825321E-2</v>
      </c>
      <c r="O16" s="40">
        <f t="shared" si="11"/>
        <v>0.40118759368154044</v>
      </c>
      <c r="S16" s="35" t="s">
        <v>117</v>
      </c>
      <c r="T16" s="40">
        <f>T6/$U$6</f>
        <v>9.3336488369559906E-2</v>
      </c>
      <c r="U16" s="92">
        <f t="shared" ref="U16:W16" si="12">U6/$U$6</f>
        <v>1</v>
      </c>
      <c r="V16" s="40">
        <f t="shared" si="12"/>
        <v>9.3351848351189374E-3</v>
      </c>
      <c r="W16" s="40">
        <f t="shared" si="12"/>
        <v>0.36755722440155958</v>
      </c>
      <c r="AA16" s="35" t="s">
        <v>180</v>
      </c>
      <c r="AB16" s="40">
        <f>AB6/$AD$6</f>
        <v>4.1120078508279995E-4</v>
      </c>
      <c r="AC16" s="40">
        <f t="shared" ref="AC16:AD16" si="13">AC6/$AD$6</f>
        <v>3.7866167307016083E-4</v>
      </c>
      <c r="AD16" s="92">
        <f t="shared" si="13"/>
        <v>1</v>
      </c>
      <c r="AE16" s="40"/>
      <c r="AG16" s="35" t="s">
        <v>180</v>
      </c>
      <c r="AH16" s="92">
        <f>AH6/$AH$6</f>
        <v>1</v>
      </c>
      <c r="AI16" s="40">
        <f t="shared" ref="AI16" si="14">AI6/$AH$6</f>
        <v>0.92086806933968512</v>
      </c>
      <c r="AJ16" s="40"/>
    </row>
    <row r="17" spans="3:36">
      <c r="C17" s="35" t="s">
        <v>118</v>
      </c>
      <c r="D17" s="90">
        <f>D7/$D$7</f>
        <v>1</v>
      </c>
      <c r="E17" s="41">
        <f t="shared" ref="E17:G17" si="15">E7/$D$7</f>
        <v>0.87735849056603765</v>
      </c>
      <c r="F17" s="41">
        <f t="shared" si="15"/>
        <v>0.16808924827792751</v>
      </c>
      <c r="G17" s="41">
        <f t="shared" si="15"/>
        <v>0.68181591294798849</v>
      </c>
      <c r="K17" s="35" t="s">
        <v>118</v>
      </c>
      <c r="L17" s="92">
        <f>L7/$L$7</f>
        <v>1</v>
      </c>
      <c r="M17" s="40">
        <f t="shared" ref="M17:O17" si="16">M7/$L$7</f>
        <v>0.9642857142857143</v>
      </c>
      <c r="N17" s="40">
        <f t="shared" si="16"/>
        <v>0.94437910757523347</v>
      </c>
      <c r="O17" s="40">
        <f t="shared" si="16"/>
        <v>0.96955494062031589</v>
      </c>
      <c r="S17" s="35" t="s">
        <v>118</v>
      </c>
      <c r="T17" s="92">
        <f>T7/$T$7</f>
        <v>1</v>
      </c>
      <c r="U17" s="40">
        <f t="shared" ref="U17:W17" si="17">U7/$T$7</f>
        <v>0.14285231388329978</v>
      </c>
      <c r="V17" s="40">
        <f t="shared" si="17"/>
        <v>5.1119522245292842E-2</v>
      </c>
      <c r="W17" s="40">
        <f t="shared" si="17"/>
        <v>0.39799061204286412</v>
      </c>
      <c r="AA17" s="35" t="s">
        <v>118</v>
      </c>
      <c r="AB17" s="40">
        <f>AB7/$AD$7</f>
        <v>4.5759946829302622E-2</v>
      </c>
      <c r="AC17" s="40">
        <f t="shared" ref="AC17:AD17" si="18">AC7/$AD$7</f>
        <v>0.10060844751958715</v>
      </c>
      <c r="AD17" s="92">
        <f t="shared" si="18"/>
        <v>1</v>
      </c>
      <c r="AE17" s="40"/>
      <c r="AG17" s="35" t="s">
        <v>118</v>
      </c>
      <c r="AH17" s="40">
        <f>AH7/$AI$7</f>
        <v>0.45483205394252563</v>
      </c>
      <c r="AI17" s="92">
        <f t="shared" ref="AI17" si="19">AI7/$AI$7</f>
        <v>1</v>
      </c>
      <c r="AJ17" s="40"/>
    </row>
    <row r="18" spans="3:36">
      <c r="C18" s="35" t="s">
        <v>92</v>
      </c>
      <c r="D18" s="41">
        <f>D8/$F$8</f>
        <v>0.40744776332236643</v>
      </c>
      <c r="E18" s="41">
        <f t="shared" ref="E18:G18" si="20">E8/$F$8</f>
        <v>0.31321860404188384</v>
      </c>
      <c r="F18" s="90">
        <f t="shared" si="20"/>
        <v>1</v>
      </c>
      <c r="G18" s="41">
        <f t="shared" si="20"/>
        <v>0.57355545578808342</v>
      </c>
      <c r="K18" s="35" t="s">
        <v>92</v>
      </c>
      <c r="L18" s="92">
        <f>L8/$L$8</f>
        <v>1</v>
      </c>
      <c r="M18" s="40">
        <f t="shared" ref="M18:O18" si="21">M8/$L$8</f>
        <v>0.94130901788633081</v>
      </c>
      <c r="N18" s="40">
        <f t="shared" si="21"/>
        <v>0.65782699965799574</v>
      </c>
      <c r="O18" s="40">
        <f t="shared" si="21"/>
        <v>0.86637867251477552</v>
      </c>
      <c r="S18" s="35" t="s">
        <v>92</v>
      </c>
      <c r="T18" s="40">
        <f>T8/$U$8</f>
        <v>0.79259925585563806</v>
      </c>
      <c r="U18" s="92">
        <f t="shared" ref="U18:W18" si="22">U8/$U$8</f>
        <v>1</v>
      </c>
      <c r="V18" s="40">
        <f t="shared" si="22"/>
        <v>6.827178349558824E-2</v>
      </c>
      <c r="W18" s="40">
        <f t="shared" si="22"/>
        <v>0.6202903464504087</v>
      </c>
      <c r="AA18" s="35" t="s">
        <v>92</v>
      </c>
      <c r="AB18" s="40">
        <f>AB8/$AD$8</f>
        <v>0.13488760186380885</v>
      </c>
      <c r="AC18" s="40">
        <f t="shared" ref="AC18:AD18" si="23">AC8/$AD$8</f>
        <v>0.19048405762810935</v>
      </c>
      <c r="AD18" s="92">
        <f t="shared" si="23"/>
        <v>1</v>
      </c>
      <c r="AE18" s="40"/>
      <c r="AG18" s="35" t="s">
        <v>92</v>
      </c>
      <c r="AH18" s="40">
        <f>AH8/$AI$8</f>
        <v>0.70813066218463283</v>
      </c>
      <c r="AI18" s="92">
        <f t="shared" ref="AI18" si="24">AI8/$AI$8</f>
        <v>1</v>
      </c>
      <c r="AJ18" s="40"/>
    </row>
    <row r="19" spans="3:36">
      <c r="C19" s="35" t="s">
        <v>78</v>
      </c>
      <c r="D19" s="41">
        <f>D9/$E$9</f>
        <v>0.49865591397849462</v>
      </c>
      <c r="E19" s="90">
        <f t="shared" ref="E19:G19" si="25">E9/$E$9</f>
        <v>1</v>
      </c>
      <c r="F19" s="41">
        <f t="shared" si="25"/>
        <v>0.86021505376344087</v>
      </c>
      <c r="G19" s="41">
        <f t="shared" si="25"/>
        <v>0.78629032258064513</v>
      </c>
      <c r="K19" s="35" t="s">
        <v>78</v>
      </c>
      <c r="L19" s="92">
        <f>L9/$L$9</f>
        <v>1</v>
      </c>
      <c r="M19" s="40">
        <f t="shared" ref="M19:O19" si="26">M9/$L$9</f>
        <v>0.51020408163265307</v>
      </c>
      <c r="N19" s="40">
        <f t="shared" si="26"/>
        <v>0.49659863945578231</v>
      </c>
      <c r="O19" s="40">
        <f t="shared" si="26"/>
        <v>0.66893424036281179</v>
      </c>
      <c r="S19" s="35" t="s">
        <v>78</v>
      </c>
      <c r="T19" s="92">
        <f>T9/$T$9</f>
        <v>1</v>
      </c>
      <c r="U19" s="40">
        <f t="shared" ref="U19:W19" si="27">U9/$T$9</f>
        <v>0.49998309859154927</v>
      </c>
      <c r="V19" s="40">
        <f t="shared" si="27"/>
        <v>0.95734406438631792</v>
      </c>
      <c r="W19" s="40">
        <f t="shared" si="27"/>
        <v>0.81910905432595571</v>
      </c>
      <c r="AA19" s="35" t="s">
        <v>78</v>
      </c>
      <c r="AB19" s="40">
        <f>AB9/$AC$9</f>
        <v>0.59491525423728808</v>
      </c>
      <c r="AC19" s="92">
        <f t="shared" ref="AC19:AD19" si="28">AC9/$AC$9</f>
        <v>1</v>
      </c>
      <c r="AD19" s="40">
        <f t="shared" si="28"/>
        <v>0.62099572881355936</v>
      </c>
      <c r="AE19" s="40"/>
      <c r="AG19" s="35" t="s">
        <v>78</v>
      </c>
      <c r="AH19" s="40">
        <f>AH9/$AI$9</f>
        <v>0.59491525423728808</v>
      </c>
      <c r="AI19" s="92">
        <f t="shared" ref="AI19" si="29">AI9/$AI$9</f>
        <v>1</v>
      </c>
      <c r="AJ19" s="40"/>
    </row>
    <row r="21" spans="3:36" ht="15.75" customHeight="1"/>
    <row r="22" spans="3:36" ht="15.75" customHeight="1"/>
    <row r="23" spans="3:36" ht="15.75" customHeight="1"/>
    <row r="24" spans="3:36" ht="15.75" customHeight="1"/>
    <row r="25" spans="3:36" ht="15.75" customHeight="1"/>
    <row r="26" spans="3:36" ht="15.75" customHeight="1"/>
    <row r="27" spans="3:36" ht="15.75" customHeight="1"/>
    <row r="28" spans="3:36" ht="15.75" customHeight="1"/>
    <row r="29" spans="3:36" ht="15.75" customHeight="1"/>
    <row r="30" spans="3:36" ht="15.75" customHeight="1"/>
    <row r="31" spans="3:36" ht="15.75" customHeight="1"/>
    <row r="32" spans="3:3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G3:AJ3"/>
    <mergeCell ref="AG13:AJ13"/>
    <mergeCell ref="C3:G3"/>
    <mergeCell ref="S3:W3"/>
    <mergeCell ref="K3:O3"/>
    <mergeCell ref="AA3:AE3"/>
    <mergeCell ref="C13:G13"/>
    <mergeCell ref="S13:W13"/>
    <mergeCell ref="K13:O13"/>
    <mergeCell ref="AA13:AE13"/>
  </mergeCell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1m_15%</vt:lpstr>
      <vt:lpstr>2m_15%</vt:lpstr>
      <vt:lpstr>EnergyDemand_15%</vt:lpstr>
      <vt:lpstr>Batt3</vt:lpstr>
      <vt:lpstr>NMC</vt:lpstr>
      <vt:lpstr>LFP</vt:lpstr>
      <vt:lpstr>LTO</vt:lpstr>
      <vt:lpstr>Radar_Plot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Solis</dc:creator>
  <cp:lastModifiedBy>Leonardo Solis Zamora</cp:lastModifiedBy>
  <dcterms:created xsi:type="dcterms:W3CDTF">2024-04-23T21:21:02Z</dcterms:created>
  <dcterms:modified xsi:type="dcterms:W3CDTF">2026-01-19T10:38:58Z</dcterms:modified>
</cp:coreProperties>
</file>