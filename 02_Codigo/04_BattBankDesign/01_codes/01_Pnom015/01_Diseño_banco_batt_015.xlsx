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1_Pnom015\"/>
    </mc:Choice>
  </mc:AlternateContent>
  <xr:revisionPtr revIDLastSave="0" documentId="13_ncr:1_{DFE08D93-D19E-4C7A-946E-7A7CEDF32C90}" xr6:coauthVersionLast="47" xr6:coauthVersionMax="47" xr10:uidLastSave="{00000000-0000-0000-0000-000000000000}"/>
  <bookViews>
    <workbookView xWindow="20370" yWindow="-4695" windowWidth="29040" windowHeight="15840" firstSheet="2" activeTab="6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NMC" sheetId="5" r:id="rId5"/>
    <sheet name="LFP" sheetId="4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L44" i="6" l="1"/>
  <c r="H44" i="6"/>
  <c r="J47" i="5"/>
  <c r="J31" i="5"/>
  <c r="D23" i="6"/>
  <c r="H23" i="6"/>
  <c r="P29" i="4" l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L44" i="4"/>
  <c r="L50" i="4"/>
  <c r="L49" i="4"/>
  <c r="P30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N8" i="5" l="1"/>
  <c r="V6" i="4"/>
  <c r="U6" i="4"/>
  <c r="W6" i="4"/>
  <c r="AC7" i="7"/>
  <c r="AE15" i="7"/>
  <c r="AE16" i="7"/>
  <c r="AE17" i="7"/>
  <c r="AE18" i="7"/>
  <c r="AE19" i="7"/>
  <c r="D9" i="6"/>
  <c r="AC19" i="7"/>
  <c r="AB19" i="7"/>
  <c r="AD18" i="7"/>
  <c r="AC18" i="7"/>
  <c r="AD17" i="7"/>
  <c r="AC17" i="7"/>
  <c r="AD16" i="7"/>
  <c r="AC16" i="7"/>
  <c r="AB15" i="7"/>
  <c r="AC15" i="7"/>
  <c r="AC9" i="7"/>
  <c r="AD9" i="7"/>
  <c r="AD6" i="7"/>
  <c r="J26" i="5"/>
  <c r="J49" i="5" s="1"/>
  <c r="J50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AD19" i="7" l="1"/>
  <c r="W19" i="7"/>
  <c r="V19" i="7"/>
  <c r="U19" i="7"/>
  <c r="T19" i="7"/>
  <c r="G19" i="7"/>
  <c r="F19" i="7"/>
  <c r="E19" i="7"/>
  <c r="D19" i="7"/>
  <c r="AB18" i="7"/>
  <c r="V18" i="7"/>
  <c r="W18" i="7" s="1"/>
  <c r="U18" i="7"/>
  <c r="T18" i="7"/>
  <c r="G18" i="7"/>
  <c r="F18" i="7"/>
  <c r="E18" i="7"/>
  <c r="D18" i="7"/>
  <c r="AB17" i="7"/>
  <c r="W17" i="7"/>
  <c r="V17" i="7"/>
  <c r="U17" i="7"/>
  <c r="T17" i="7"/>
  <c r="O17" i="7"/>
  <c r="N17" i="7"/>
  <c r="M17" i="7"/>
  <c r="L17" i="7"/>
  <c r="G17" i="7"/>
  <c r="F17" i="7"/>
  <c r="E17" i="7"/>
  <c r="D17" i="7"/>
  <c r="AB16" i="7"/>
  <c r="W16" i="7"/>
  <c r="V16" i="7"/>
  <c r="U16" i="7"/>
  <c r="T16" i="7"/>
  <c r="O16" i="7"/>
  <c r="N16" i="7"/>
  <c r="M16" i="7"/>
  <c r="L16" i="7"/>
  <c r="G16" i="7"/>
  <c r="F16" i="7"/>
  <c r="E16" i="7"/>
  <c r="D16" i="7"/>
  <c r="AD15" i="7"/>
  <c r="W15" i="7"/>
  <c r="V15" i="7"/>
  <c r="U15" i="7"/>
  <c r="T15" i="7"/>
  <c r="O15" i="7"/>
  <c r="N15" i="7"/>
  <c r="M15" i="7"/>
  <c r="L15" i="7"/>
  <c r="G15" i="7"/>
  <c r="AB9" i="7"/>
  <c r="AG8" i="7"/>
  <c r="AD8" i="7"/>
  <c r="AC8" i="7"/>
  <c r="AB8" i="7"/>
  <c r="AG7" i="7"/>
  <c r="AD7" i="7"/>
  <c r="AB7" i="7"/>
  <c r="AG6" i="7"/>
  <c r="AC6" i="7"/>
  <c r="AB6" i="7"/>
  <c r="AG5" i="7"/>
  <c r="AD5" i="7"/>
  <c r="AC5" i="7"/>
  <c r="AB5" i="7"/>
  <c r="H45" i="6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V7" i="6"/>
  <c r="U7" i="6"/>
  <c r="L7" i="6"/>
  <c r="W6" i="6" s="1"/>
  <c r="X4" i="6"/>
  <c r="D45" i="5"/>
  <c r="J44" i="5"/>
  <c r="J42" i="5"/>
  <c r="G42" i="5"/>
  <c r="J40" i="5"/>
  <c r="O9" i="5" s="1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M8" i="5"/>
  <c r="G7" i="5"/>
  <c r="N7" i="5" s="1"/>
  <c r="D7" i="5"/>
  <c r="M7" i="5" s="1"/>
  <c r="O6" i="5"/>
  <c r="O5" i="5"/>
  <c r="N5" i="5"/>
  <c r="M5" i="5"/>
  <c r="P5" i="5" s="1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W8" i="4" s="1"/>
  <c r="H23" i="4"/>
  <c r="H24" i="4" s="1"/>
  <c r="H26" i="4" s="1"/>
  <c r="P22" i="4"/>
  <c r="L22" i="4"/>
  <c r="H22" i="4"/>
  <c r="D22" i="4"/>
  <c r="P15" i="4"/>
  <c r="L15" i="4"/>
  <c r="H15" i="4"/>
  <c r="V7" i="4" s="1"/>
  <c r="X7" i="4" s="1"/>
  <c r="D33" i="4"/>
  <c r="D11" i="4"/>
  <c r="D10" i="4"/>
  <c r="W7" i="4"/>
  <c r="H7" i="4"/>
  <c r="X6" i="4"/>
  <c r="X4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G29" i="5" l="1"/>
  <c r="G49" i="5"/>
  <c r="G50" i="5" s="1"/>
  <c r="G28" i="5"/>
  <c r="D50" i="5"/>
  <c r="M9" i="5" s="1"/>
  <c r="AE5" i="7"/>
  <c r="AE7" i="7"/>
  <c r="AE8" i="7"/>
  <c r="AE9" i="7"/>
  <c r="AE6" i="7"/>
  <c r="L29" i="6"/>
  <c r="R6" i="6" s="1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L29" i="4"/>
  <c r="D43" i="5"/>
  <c r="D44" i="5" s="1"/>
  <c r="D46" i="5"/>
  <c r="D47" i="5" s="1"/>
  <c r="L6" i="6"/>
  <c r="W7" i="6" s="1"/>
  <c r="X7" i="6" s="1"/>
  <c r="L49" i="6"/>
  <c r="L43" i="6"/>
  <c r="L43" i="4"/>
  <c r="N9" i="5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L50" i="6" l="1"/>
  <c r="M50" i="6" s="1"/>
  <c r="M49" i="6"/>
  <c r="M43" i="6"/>
  <c r="R4" i="6"/>
  <c r="O8" i="5"/>
  <c r="P8" i="5" s="1"/>
  <c r="G34" i="5"/>
  <c r="G32" i="5"/>
  <c r="P9" i="5"/>
  <c r="L32" i="6"/>
  <c r="R5" i="6" s="1"/>
  <c r="W5" i="6"/>
  <c r="D49" i="4"/>
  <c r="D50" i="4" s="1"/>
  <c r="U8" i="4" s="1"/>
  <c r="N6" i="5"/>
  <c r="H32" i="4"/>
  <c r="V5" i="4"/>
  <c r="U6" i="6"/>
  <c r="X6" i="6" s="1"/>
  <c r="D24" i="6"/>
  <c r="D26" i="6" s="1"/>
  <c r="D29" i="6" s="1"/>
  <c r="W5" i="4"/>
  <c r="L34" i="4"/>
  <c r="L32" i="4"/>
  <c r="E50" i="3"/>
  <c r="E48" i="3"/>
  <c r="V8" i="4"/>
  <c r="C22" i="3"/>
  <c r="C20" i="3"/>
  <c r="H24" i="6"/>
  <c r="H9" i="6"/>
  <c r="V6" i="6" s="1"/>
  <c r="D46" i="4"/>
  <c r="D47" i="4" s="1"/>
  <c r="D28" i="4"/>
  <c r="M6" i="5"/>
  <c r="D34" i="5"/>
  <c r="D32" i="5"/>
  <c r="R7" i="6"/>
  <c r="W8" i="6"/>
  <c r="R8" i="6" l="1"/>
  <c r="M44" i="6"/>
  <c r="P6" i="5"/>
  <c r="H46" i="6"/>
  <c r="H47" i="6" s="1"/>
  <c r="H49" i="6"/>
  <c r="C31" i="3"/>
  <c r="C30" i="3"/>
  <c r="D28" i="6"/>
  <c r="D34" i="6"/>
  <c r="D46" i="6"/>
  <c r="D47" i="6" s="1"/>
  <c r="D50" i="6"/>
  <c r="E50" i="6" s="1"/>
  <c r="X8" i="4"/>
  <c r="D32" i="4"/>
  <c r="U5" i="4"/>
  <c r="X5" i="4" s="1"/>
  <c r="D44" i="6" l="1"/>
  <c r="E43" i="6"/>
  <c r="Q8" i="6"/>
  <c r="H50" i="6"/>
  <c r="U8" i="6"/>
  <c r="P7" i="6"/>
  <c r="D32" i="6"/>
  <c r="P5" i="6" s="1"/>
  <c r="P4" i="6"/>
  <c r="P6" i="6"/>
  <c r="U5" i="6"/>
  <c r="Q5" i="6"/>
  <c r="Q4" i="6"/>
  <c r="Q6" i="6"/>
  <c r="V5" i="6"/>
  <c r="P8" i="6" l="1"/>
  <c r="E44" i="6"/>
  <c r="V8" i="6"/>
  <c r="Q7" i="6"/>
  <c r="X8" i="6"/>
  <c r="X5" i="6"/>
  <c r="J8" i="5"/>
  <c r="J7" i="5" s="1"/>
  <c r="O7" i="5" l="1"/>
  <c r="P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<sst xmlns="http://schemas.openxmlformats.org/spreadsheetml/2006/main" count="668" uniqueCount="186">
  <si>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</si>
  <si>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</si>
  <si>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</si>
  <si>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</si>
  <si>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</si>
  <si>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</si>
  <si>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</si>
  <si>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</si>
  <si>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</si>
  <si>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</si>
  <si>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</si>
  <si>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</si>
  <si>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</si>
  <si>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</si>
  <si>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</si>
  <si>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</si>
  <si>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</si>
  <si>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</si>
  <si>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</si>
  <si>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</si>
  <si>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</si>
  <si>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</si>
  <si>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</si>
  <si>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</si>
  <si>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</si>
  <si>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</si>
  <si>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</si>
  <si>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</si>
  <si>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</si>
  <si>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</si>
  <si>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</si>
  <si>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</si>
  <si>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</si>
  <si>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</si>
  <si>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</si>
  <si>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</si>
  <si>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</si>
  <si>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</si>
  <si>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</si>
  <si>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</si>
  <si>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</si>
  <si>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</si>
  <si>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</si>
  <si>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</si>
  <si>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</si>
  <si>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</si>
  <si>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</si>
  <si>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</si>
  <si>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</si>
  <si>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</si>
  <si>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</si>
  <si>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</si>
  <si>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</si>
  <si>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</si>
  <si>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</si>
  <si>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</si>
  <si>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</si>
  <si>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</si>
  <si>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</si>
  <si>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</si>
  <si>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</si>
  <si>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</si>
  <si>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</si>
  <si>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</si>
  <si>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</si>
  <si>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</si>
  <si>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</si>
  <si>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</si>
  <si>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</si>
  <si>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</si>
  <si>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</si>
  <si>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</si>
  <si>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</si>
  <si>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Promedio LFP</t>
  </si>
  <si>
    <t>Marca</t>
  </si>
  <si>
    <t>Espacio [-]</t>
  </si>
  <si>
    <t>Ciclos de Vida</t>
  </si>
  <si>
    <t>Tecnología</t>
  </si>
  <si>
    <t>LFP</t>
  </si>
  <si>
    <t>Specific energy [Wh/kg]</t>
  </si>
  <si>
    <t>Celdas</t>
  </si>
  <si>
    <t>Volume density [Wh/m3]</t>
  </si>
  <si>
    <t>Energy Density [Wh/kg]</t>
  </si>
  <si>
    <t>Power Discharge [kW]</t>
  </si>
  <si>
    <t>Volume density [Wh/L]</t>
  </si>
  <si>
    <t>Battery Cell Weight min [kg]</t>
  </si>
  <si>
    <t>Battery Cell Weight [kg]</t>
  </si>
  <si>
    <t>Power Peak [kW]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</si>
  <si>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</si>
  <si>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</si>
  <si>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</si>
  <si>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</si>
  <si>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</si>
  <si>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</si>
  <si>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</si>
  <si>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</si>
  <si>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</si>
  <si>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</si>
  <si>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</si>
  <si>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</si>
  <si>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</si>
  <si>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</si>
  <si>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</si>
  <si>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</si>
  <si>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</si>
  <si>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</si>
  <si>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</si>
  <si>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</si>
  <si>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</si>
  <si>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</si>
  <si>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</si>
  <si>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</si>
  <si>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</si>
  <si>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</si>
  <si>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</si>
  <si>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</si>
  <si>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</si>
  <si>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</si>
  <si>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</si>
  <si>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</si>
  <si>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</si>
  <si>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</si>
  <si>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</si>
  <si>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</si>
  <si>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</si>
  <si>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</si>
  <si>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</si>
  <si>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</si>
  <si>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</si>
  <si>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</si>
  <si>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</si>
  <si>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</si>
  <si>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</si>
  <si>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</si>
  <si>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</si>
  <si>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Promedio LTO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</si>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</sst>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0.0000000"/>
    <numFmt numFmtId="168" formatCode="0.0000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08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164" fontId="9" fillId="0" borderId="8" xfId="0" applyNumberFormat="1" applyFont="1" applyBorder="1" applyAlignment="1">
      <alignment horizontal="center"/>
    </xf>
    <xf numFmtId="2" fontId="9" fillId="0" borderId="8" xfId="0" applyNumberFormat="1" applyFont="1" applyBorder="1"/>
    <xf numFmtId="164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20" fillId="0" borderId="0" xfId="0" applyFont="1" applyAlignment="1">
      <alignment horizontal="center"/>
    </xf>
    <xf numFmtId="0" fontId="19" fillId="5" borderId="4" xfId="0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LFP!$P$3</c:f>
              <c:strCache>
                <c:ptCount val="1"/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LFP!$P$4:$P$8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6EB4-4078-9278-B6FE21A79CB4}"/>
            </c:ext>
          </c:extLst>
        </c:ser>
        <c:ser>
          <c:idx val="1"/>
          <c:order val="1"/>
          <c:tx>
            <c:strRef>
              <c:f>LFP!$Q$3</c:f>
              <c:strCache>
                <c:ptCount val="1"/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LFP!$Q$4:$Q$8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6EB4-4078-9278-B6FE21A79CB4}"/>
            </c:ext>
          </c:extLst>
        </c:ser>
        <c:ser>
          <c:idx val="2"/>
          <c:order val="2"/>
          <c:tx>
            <c:strRef>
              <c:f>LFP!$R$3</c:f>
              <c:strCache>
                <c:ptCount val="1"/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LFP!$R$4:$R$8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6EB4-4078-9278-B6FE21A79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3314233"/>
        <c:axId val="569576675"/>
      </c:radarChart>
      <c:catAx>
        <c:axId val="1403314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69576675"/>
        <c:crosses val="autoZero"/>
        <c:auto val="1"/>
        <c:lblAlgn val="ctr"/>
        <c:lblOffset val="100"/>
        <c:noMultiLvlLbl val="1"/>
      </c:catAx>
      <c:valAx>
        <c:axId val="569576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403314233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Espacio [-]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LFP!$P$4:$R$4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A9-4C10-AEFC-A0B8CC0FD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7109630"/>
        <c:axId val="1633506441"/>
      </c:barChart>
      <c:catAx>
        <c:axId val="227109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33506441"/>
        <c:crosses val="autoZero"/>
        <c:auto val="1"/>
        <c:lblAlgn val="ctr"/>
        <c:lblOffset val="100"/>
        <c:noMultiLvlLbl val="1"/>
      </c:catAx>
      <c:valAx>
        <c:axId val="16335064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2710963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Specific energy [Wh/kg]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LFP!$P$5:$R$5</c:f>
              <c:numCache>
                <c:formatCode>0.000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29-4A85-8E59-7A133A7A0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6452373"/>
        <c:axId val="683350536"/>
      </c:barChart>
      <c:catAx>
        <c:axId val="21064523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83350536"/>
        <c:crosses val="autoZero"/>
        <c:auto val="1"/>
        <c:lblAlgn val="ctr"/>
        <c:lblOffset val="100"/>
        <c:noMultiLvlLbl val="1"/>
      </c:catAx>
      <c:valAx>
        <c:axId val="683350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10645237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Volume density [Wh/m3]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LFP!$P$6:$R$6</c:f>
              <c:numCache>
                <c:formatCode>0.00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136-4002-A7C5-570B4527D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0327849"/>
        <c:axId val="1826827554"/>
      </c:barChart>
      <c:catAx>
        <c:axId val="350327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826827554"/>
        <c:crosses val="autoZero"/>
        <c:auto val="1"/>
        <c:lblAlgn val="ctr"/>
        <c:lblOffset val="100"/>
        <c:noMultiLvlLbl val="1"/>
      </c:catAx>
      <c:valAx>
        <c:axId val="1826827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35032784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Discharge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LFP!$P$7:$R$7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85-4251-BE5C-76D984199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6032776"/>
        <c:axId val="699185025"/>
      </c:barChart>
      <c:catAx>
        <c:axId val="1266032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9185025"/>
        <c:crosses val="autoZero"/>
        <c:auto val="1"/>
        <c:lblAlgn val="ctr"/>
        <c:lblOffset val="100"/>
        <c:noMultiLvlLbl val="1"/>
      </c:catAx>
      <c:valAx>
        <c:axId val="699185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26603277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LTO!$P$3</c:f>
              <c:strCache>
                <c:ptCount val="1"/>
                <c:pt idx="0">
                  <c:v>Nichicon 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LTO!$O$4:$O$8</c:f>
              <c:strCache>
                <c:ptCount val="5"/>
                <c:pt idx="0">
                  <c:v>Espacio [-]</c:v>
                </c:pt>
                <c:pt idx="1">
                  <c:v>Specific energy [Wh/kg]</c:v>
                </c:pt>
                <c:pt idx="2">
                  <c:v>Volume density [Wh/m3]</c:v>
                </c:pt>
                <c:pt idx="3">
                  <c:v>Power Discharge [kW]</c:v>
                </c:pt>
                <c:pt idx="4">
                  <c:v>Power Peak [kW]</c:v>
                </c:pt>
              </c:strCache>
            </c:strRef>
          </c:cat>
          <c:val>
            <c:numRef>
              <c:f>LTO!$P$4:$P$8</c:f>
              <c:numCache>
                <c:formatCode>0.000</c:formatCode>
                <c:ptCount val="5"/>
                <c:pt idx="0" formatCode="General">
                  <c:v>-3767.4350775193798</c:v>
                </c:pt>
                <c:pt idx="1">
                  <c:v>2.832342201905189E-3</c:v>
                </c:pt>
                <c:pt idx="2" formatCode="0.00">
                  <c:v>8.2066510898476455E-3</c:v>
                </c:pt>
                <c:pt idx="3" formatCode="General">
                  <c:v>7.2238372093023253</c:v>
                </c:pt>
                <c:pt idx="4" formatCode="General">
                  <c:v>39.402748414376319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36-4C5C-8D71-6D716D163DB5}"/>
            </c:ext>
          </c:extLst>
        </c:ser>
        <c:ser>
          <c:idx val="1"/>
          <c:order val="1"/>
          <c:tx>
            <c:strRef>
              <c:f>LTO!$Q$3</c:f>
              <c:strCache>
                <c:ptCount val="1"/>
                <c:pt idx="0">
                  <c:v>Nichicon 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LTO!$O$4:$O$8</c:f>
              <c:strCache>
                <c:ptCount val="5"/>
                <c:pt idx="0">
                  <c:v>Espacio [-]</c:v>
                </c:pt>
                <c:pt idx="1">
                  <c:v>Specific energy [Wh/kg]</c:v>
                </c:pt>
                <c:pt idx="2">
                  <c:v>Volume density [Wh/m3]</c:v>
                </c:pt>
                <c:pt idx="3">
                  <c:v>Power Discharge [kW]</c:v>
                </c:pt>
                <c:pt idx="4">
                  <c:v>Power Peak [kW]</c:v>
                </c:pt>
              </c:strCache>
            </c:strRef>
          </c:cat>
          <c:val>
            <c:numRef>
              <c:f>LTO!$Q$4:$Q$8</c:f>
              <c:numCache>
                <c:formatCode>0.000</c:formatCode>
                <c:ptCount val="5"/>
                <c:pt idx="0" formatCode="General">
                  <c:v>-40373.725290697672</c:v>
                </c:pt>
                <c:pt idx="1">
                  <c:v>1.9827065624005311E-2</c:v>
                </c:pt>
                <c:pt idx="2" formatCode="0.00">
                  <c:v>6.5045855468801048E-3</c:v>
                </c:pt>
                <c:pt idx="3" formatCode="General">
                  <c:v>3.6117965116279067</c:v>
                </c:pt>
                <c:pt idx="4" formatCode="General">
                  <c:v>39.401416490486262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36-4C5C-8D71-6D716D163DB5}"/>
            </c:ext>
          </c:extLst>
        </c:ser>
        <c:ser>
          <c:idx val="2"/>
          <c:order val="2"/>
          <c:tx>
            <c:strRef>
              <c:f>LTO!$R$3</c:f>
              <c:strCache>
                <c:ptCount val="1"/>
                <c:pt idx="0">
                  <c:v>ECO Lithium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LTO!$O$4:$O$8</c:f>
              <c:strCache>
                <c:ptCount val="5"/>
                <c:pt idx="0">
                  <c:v>Espacio [-]</c:v>
                </c:pt>
                <c:pt idx="1">
                  <c:v>Specific energy [Wh/kg]</c:v>
                </c:pt>
                <c:pt idx="2">
                  <c:v>Volume density [Wh/m3]</c:v>
                </c:pt>
                <c:pt idx="3">
                  <c:v>Power Discharge [kW]</c:v>
                </c:pt>
                <c:pt idx="4">
                  <c:v>Power Peak [kW]</c:v>
                </c:pt>
              </c:strCache>
            </c:strRef>
          </c:cat>
          <c:val>
            <c:numRef>
              <c:f>LTO!$R$4:$R$8</c:f>
              <c:numCache>
                <c:formatCode>0.000</c:formatCode>
                <c:ptCount val="5"/>
                <c:pt idx="0" formatCode="General">
                  <c:v>-375.90552325581393</c:v>
                </c:pt>
                <c:pt idx="1">
                  <c:v>5.5406272936480649E-2</c:v>
                </c:pt>
                <c:pt idx="2" formatCode="0.00">
                  <c:v>9.5274873656998202E-2</c:v>
                </c:pt>
                <c:pt idx="3" formatCode="General">
                  <c:v>6.9156976744186043</c:v>
                </c:pt>
                <c:pt idx="4" formatCode="General">
                  <c:v>15.088794926004228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36-4C5C-8D71-6D716D163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886881"/>
        <c:axId val="257917293"/>
      </c:radarChart>
      <c:catAx>
        <c:axId val="1555886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57917293"/>
        <c:crosses val="autoZero"/>
        <c:auto val="1"/>
        <c:lblAlgn val="ctr"/>
        <c:lblOffset val="100"/>
        <c:noMultiLvlLbl val="1"/>
      </c:catAx>
      <c:valAx>
        <c:axId val="2579172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5588688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Espacio [-]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LTO!$P$3:$R$3</c:f>
              <c:strCache>
                <c:ptCount val="3"/>
                <c:pt idx="0">
                  <c:v>Nichicon 1</c:v>
                </c:pt>
                <c:pt idx="1">
                  <c:v>Nichicon 2</c:v>
                </c:pt>
                <c:pt idx="2">
                  <c:v>ECO Lithium</c:v>
                </c:pt>
              </c:strCache>
            </c:strRef>
          </c:cat>
          <c:val>
            <c:numRef>
              <c:f>LTO!$P$4:$R$4</c:f>
              <c:numCache>
                <c:formatCode>General</c:formatCode>
                <c:ptCount val="3"/>
                <c:pt idx="0">
                  <c:v>-3767.4350775193798</c:v>
                </c:pt>
                <c:pt idx="1">
                  <c:v>-40373.725290697672</c:v>
                </c:pt>
                <c:pt idx="2">
                  <c:v>-375.90552325581393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5DD-4619-B2DD-598C3818D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5223051"/>
        <c:axId val="883228943"/>
      </c:barChart>
      <c:catAx>
        <c:axId val="7452230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883228943"/>
        <c:crosses val="autoZero"/>
        <c:auto val="1"/>
        <c:lblAlgn val="ctr"/>
        <c:lblOffset val="100"/>
        <c:noMultiLvlLbl val="1"/>
      </c:catAx>
      <c:valAx>
        <c:axId val="883228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4522305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Specific energy [Wh/kg]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LTO!$P$3:$R$3</c:f>
              <c:strCache>
                <c:ptCount val="3"/>
                <c:pt idx="0">
                  <c:v>Nichicon 1</c:v>
                </c:pt>
                <c:pt idx="1">
                  <c:v>Nichicon 2</c:v>
                </c:pt>
                <c:pt idx="2">
                  <c:v>ECO Lithium</c:v>
                </c:pt>
              </c:strCache>
            </c:strRef>
          </c:cat>
          <c:val>
            <c:numRef>
              <c:f>LTO!$P$5:$R$5</c:f>
              <c:numCache>
                <c:formatCode>0.000</c:formatCode>
                <c:ptCount val="3"/>
                <c:pt idx="0">
                  <c:v>2.832342201905189E-3</c:v>
                </c:pt>
                <c:pt idx="1">
                  <c:v>1.9827065624005311E-2</c:v>
                </c:pt>
                <c:pt idx="2">
                  <c:v>5.5406272936480649E-2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E04-4F78-98A8-52CF8FEC1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9532008"/>
        <c:axId val="359529312"/>
      </c:barChart>
      <c:catAx>
        <c:axId val="2049532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359529312"/>
        <c:crosses val="autoZero"/>
        <c:auto val="1"/>
        <c:lblAlgn val="ctr"/>
        <c:lblOffset val="100"/>
        <c:noMultiLvlLbl val="1"/>
      </c:catAx>
      <c:valAx>
        <c:axId val="3595293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49532008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Volume density [Wh/m3]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LTO!$P$3:$R$3</c:f>
              <c:strCache>
                <c:ptCount val="3"/>
                <c:pt idx="0">
                  <c:v>Nichicon 1</c:v>
                </c:pt>
                <c:pt idx="1">
                  <c:v>Nichicon 2</c:v>
                </c:pt>
                <c:pt idx="2">
                  <c:v>ECO Lithium</c:v>
                </c:pt>
              </c:strCache>
            </c:strRef>
          </c:cat>
          <c:val>
            <c:numRef>
              <c:f>LTO!$P$6:$R$6</c:f>
              <c:numCache>
                <c:formatCode>0.00</c:formatCode>
                <c:ptCount val="3"/>
                <c:pt idx="0">
                  <c:v>8.2066510898476455E-3</c:v>
                </c:pt>
                <c:pt idx="1">
                  <c:v>6.5045855468801048E-3</c:v>
                </c:pt>
                <c:pt idx="2">
                  <c:v>9.5274873656998202E-2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4F-489D-BA77-537B3A1B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8424093"/>
        <c:axId val="1922149609"/>
      </c:barChart>
      <c:catAx>
        <c:axId val="8284240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922149609"/>
        <c:crosses val="autoZero"/>
        <c:auto val="1"/>
        <c:lblAlgn val="ctr"/>
        <c:lblOffset val="100"/>
        <c:noMultiLvlLbl val="1"/>
      </c:catAx>
      <c:valAx>
        <c:axId val="1922149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82842409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Discharge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LTO!$P$3:$R$3</c:f>
              <c:strCache>
                <c:ptCount val="3"/>
                <c:pt idx="0">
                  <c:v>Nichicon 1</c:v>
                </c:pt>
                <c:pt idx="1">
                  <c:v>Nichicon 2</c:v>
                </c:pt>
                <c:pt idx="2">
                  <c:v>ECO Lithium</c:v>
                </c:pt>
              </c:strCache>
            </c:strRef>
          </c:cat>
          <c:val>
            <c:numRef>
              <c:f>LTO!$P$7:$R$7</c:f>
              <c:numCache>
                <c:formatCode>General</c:formatCode>
                <c:ptCount val="3"/>
                <c:pt idx="0">
                  <c:v>7.2238372093023253</c:v>
                </c:pt>
                <c:pt idx="1">
                  <c:v>3.6117965116279067</c:v>
                </c:pt>
                <c:pt idx="2">
                  <c:v>6.9156976744186043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01-4C0C-BDF4-E4391E350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533022"/>
        <c:axId val="1235776798"/>
      </c:barChart>
      <c:catAx>
        <c:axId val="2025330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235776798"/>
        <c:crosses val="autoZero"/>
        <c:auto val="1"/>
        <c:lblAlgn val="ctr"/>
        <c:lblOffset val="100"/>
        <c:noMultiLvlLbl val="1"/>
      </c:catAx>
      <c:valAx>
        <c:axId val="12357767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53302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LTO!$P$3:$R$3</c:f>
              <c:strCache>
                <c:ptCount val="3"/>
                <c:pt idx="0">
                  <c:v>Nichicon 1</c:v>
                </c:pt>
                <c:pt idx="1">
                  <c:v>Nichicon 2</c:v>
                </c:pt>
                <c:pt idx="2">
                  <c:v>ECO Lithium</c:v>
                </c:pt>
              </c:strCache>
            </c:strRef>
          </c:cat>
          <c:val>
            <c:numRef>
              <c:f>LTO!$P$8:$R$8</c:f>
              <c:numCache>
                <c:formatCode>General</c:formatCode>
                <c:ptCount val="3"/>
                <c:pt idx="0">
                  <c:v>39.402748414376319</c:v>
                </c:pt>
                <c:pt idx="1">
                  <c:v>39.401416490486262</c:v>
                </c:pt>
                <c:pt idx="2">
                  <c:v>15.088794926004228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7CD-4BB9-B82B-36000C8C7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9052358"/>
        <c:axId val="505016596"/>
      </c:barChart>
      <c:catAx>
        <c:axId val="699052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5016596"/>
        <c:crosses val="autoZero"/>
        <c:auto val="1"/>
        <c:lblAlgn val="ctr"/>
        <c:lblOffset val="100"/>
        <c:noMultiLvlLbl val="1"/>
      </c:catAx>
      <c:valAx>
        <c:axId val="5050165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9052358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Specific energy [Wh/kg]</c:v>
                </c:pt>
                <c:pt idx="3">
                  <c:v>Volume density [Wh/L]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">
                  <c:v>0.5</c:v>
                </c:pt>
                <c:pt idx="1">
                  <c:v>1</c:v>
                </c:pt>
                <c:pt idx="2" formatCode="0.00">
                  <c:v>0.87500000000000222</c:v>
                </c:pt>
                <c:pt idx="3" formatCode="0.00">
                  <c:v>0.7666666666666645</c:v>
                </c:pt>
                <c:pt idx="4" formatCode="0.00">
                  <c:v>0.46296296296296297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Specific energy [Wh/kg]</c:v>
                </c:pt>
                <c:pt idx="3">
                  <c:v>Volume density [Wh/L]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 formatCode="0.0">
                  <c:v>0.5</c:v>
                </c:pt>
                <c:pt idx="1">
                  <c:v>0.36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Specific energy [Wh/kg]</c:v>
                </c:pt>
                <c:pt idx="3">
                  <c:v>Volume density [Wh/L]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0.31522388059701495</c:v>
                </c:pt>
                <c:pt idx="2">
                  <c:v>0.4194506310319237</c:v>
                </c:pt>
                <c:pt idx="3">
                  <c:v>2.5170465847935395E-2</c:v>
                </c:pt>
                <c:pt idx="4">
                  <c:v>0.94814814814814818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Avg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Specific energy [Wh/kg]</c:v>
                </c:pt>
                <c:pt idx="3">
                  <c:v>Volume density [Wh/L]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0.66666666666666508</c:v>
                </c:pt>
                <c:pt idx="1">
                  <c:v>0.55840796019900485</c:v>
                </c:pt>
                <c:pt idx="2">
                  <c:v>0.76481687701064527</c:v>
                </c:pt>
                <c:pt idx="3">
                  <c:v>0.59727904417153377</c:v>
                </c:pt>
                <c:pt idx="4">
                  <c:v>0.8037037037037037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</c:v>
                </c:pt>
                <c:pt idx="2">
                  <c:v>Specific energy [Wh/kg]</c:v>
                </c:pt>
                <c:pt idx="3">
                  <c:v>Volume density [Wh/L]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</c:formatCode>
                <c:ptCount val="5"/>
                <c:pt idx="0" formatCode="0.00">
                  <c:v>9.9977499437485934E-2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0.1669610007358352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DC-4297-ADD0-5C32D405D42C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</c:v>
                </c:pt>
                <c:pt idx="2">
                  <c:v>Specific energy [Wh/kg]</c:v>
                </c:pt>
                <c:pt idx="3">
                  <c:v>Volume density [Wh/L]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0.18750468761719044</c:v>
                </c:pt>
                <c:pt idx="1">
                  <c:v>0.91891225561499956</c:v>
                </c:pt>
                <c:pt idx="2">
                  <c:v>0.23262441092985875</c:v>
                </c:pt>
                <c:pt idx="3">
                  <c:v>0.57006313209788251</c:v>
                </c:pt>
                <c:pt idx="4">
                  <c:v>0.27194858351729212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DC-4297-ADD0-5C32D405D42C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</c:v>
                </c:pt>
                <c:pt idx="2">
                  <c:v>Specific energy [Wh/kg]</c:v>
                </c:pt>
                <c:pt idx="3">
                  <c:v>Volume density [Wh/L]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0.56332437563176441</c:v>
                </c:pt>
                <c:pt idx="2">
                  <c:v>0.15937993124198982</c:v>
                </c:pt>
                <c:pt idx="3">
                  <c:v>0.51107762011156188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DC-4297-ADD0-5C32D405D42C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</c:v>
                </c:pt>
                <c:pt idx="2">
                  <c:v>Specific energy [Wh/kg]</c:v>
                </c:pt>
                <c:pt idx="3">
                  <c:v>Volume density [Wh/L]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General</c:formatCode>
                <c:ptCount val="5"/>
                <c:pt idx="0">
                  <c:v>0.42916072901822544</c:v>
                </c:pt>
                <c:pt idx="1">
                  <c:v>0.81818181818181823</c:v>
                </c:pt>
                <c:pt idx="2">
                  <c:v>0.76335877862595425</c:v>
                </c:pt>
                <c:pt idx="3">
                  <c:v>0.75916230366492143</c:v>
                </c:pt>
                <c:pt idx="4" formatCode="0.00">
                  <c:v>0.48586065573770493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DC-4297-ADD0-5C32D405D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6528409"/>
        <c:axId val="1538800800"/>
      </c:radarChart>
      <c:catAx>
        <c:axId val="2066528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38800800"/>
        <c:crosses val="autoZero"/>
        <c:auto val="1"/>
        <c:lblAlgn val="ctr"/>
        <c:lblOffset val="100"/>
        <c:noMultiLvlLbl val="1"/>
      </c:catAx>
      <c:valAx>
        <c:axId val="15388008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66528409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504825</xdr:colOff>
      <xdr:row>41</xdr:row>
      <xdr:rowOff>133350</xdr:rowOff>
    </xdr:from>
    <xdr:ext cx="5800725" cy="2886075"/>
    <xdr:graphicFrame macro="">
      <xdr:nvGraphicFramePr>
        <xdr:cNvPr id="483829367" name="Chart 4">
          <a:extLst>
            <a:ext uri="{FF2B5EF4-FFF2-40B4-BE49-F238E27FC236}">
              <a16:creationId xmlns:a16="http://schemas.microsoft.com/office/drawing/2014/main" id="{00000000-0008-0000-0300-000077A6D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25</xdr:col>
      <xdr:colOff>314325</xdr:colOff>
      <xdr:row>17</xdr:row>
      <xdr:rowOff>47625</xdr:rowOff>
    </xdr:from>
    <xdr:ext cx="5200650" cy="2876550"/>
    <xdr:graphicFrame macro="">
      <xdr:nvGraphicFramePr>
        <xdr:cNvPr id="1408291080" name="Chart 5">
          <a:extLst>
            <a:ext uri="{FF2B5EF4-FFF2-40B4-BE49-F238E27FC236}">
              <a16:creationId xmlns:a16="http://schemas.microsoft.com/office/drawing/2014/main" id="{00000000-0008-0000-0300-000008D1F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19</xdr:col>
      <xdr:colOff>0</xdr:colOff>
      <xdr:row>17</xdr:row>
      <xdr:rowOff>47625</xdr:rowOff>
    </xdr:from>
    <xdr:ext cx="6267450" cy="2876550"/>
    <xdr:graphicFrame macro="">
      <xdr:nvGraphicFramePr>
        <xdr:cNvPr id="759695327" name="Chart 6">
          <a:extLst>
            <a:ext uri="{FF2B5EF4-FFF2-40B4-BE49-F238E27FC236}">
              <a16:creationId xmlns:a16="http://schemas.microsoft.com/office/drawing/2014/main" id="{00000000-0008-0000-0300-0000DF074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19</xdr:col>
      <xdr:colOff>0</xdr:colOff>
      <xdr:row>32</xdr:row>
      <xdr:rowOff>19050</xdr:rowOff>
    </xdr:from>
    <xdr:ext cx="6267450" cy="2876550"/>
    <xdr:graphicFrame macro="">
      <xdr:nvGraphicFramePr>
        <xdr:cNvPr id="615574697" name="Chart 7">
          <a:extLst>
            <a:ext uri="{FF2B5EF4-FFF2-40B4-BE49-F238E27FC236}">
              <a16:creationId xmlns:a16="http://schemas.microsoft.com/office/drawing/2014/main" id="{00000000-0008-0000-0300-0000A9ECB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25</xdr:col>
      <xdr:colOff>657225</xdr:colOff>
      <xdr:row>32</xdr:row>
      <xdr:rowOff>38100</xdr:rowOff>
    </xdr:from>
    <xdr:ext cx="5505450" cy="2876550"/>
    <xdr:graphicFrame macro="">
      <xdr:nvGraphicFramePr>
        <xdr:cNvPr id="1360362190" name="Chart 8">
          <a:extLst>
            <a:ext uri="{FF2B5EF4-FFF2-40B4-BE49-F238E27FC236}">
              <a16:creationId xmlns:a16="http://schemas.microsoft.com/office/drawing/2014/main" id="{00000000-0008-0000-0300-0000CE7A1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504825</xdr:colOff>
      <xdr:row>41</xdr:row>
      <xdr:rowOff>133350</xdr:rowOff>
    </xdr:from>
    <xdr:ext cx="5495925" cy="2886075"/>
    <xdr:graphicFrame macro="">
      <xdr:nvGraphicFramePr>
        <xdr:cNvPr id="1926239527" name="Chart 10">
          <a:extLst>
            <a:ext uri="{FF2B5EF4-FFF2-40B4-BE49-F238E27FC236}">
              <a16:creationId xmlns:a16="http://schemas.microsoft.com/office/drawing/2014/main" id="{00000000-0008-0000-0500-00002715D0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25</xdr:col>
      <xdr:colOff>581025</xdr:colOff>
      <xdr:row>16</xdr:row>
      <xdr:rowOff>171450</xdr:rowOff>
    </xdr:from>
    <xdr:ext cx="5200650" cy="2886075"/>
    <xdr:graphicFrame macro="">
      <xdr:nvGraphicFramePr>
        <xdr:cNvPr id="829889576" name="Chart 11">
          <a:extLst>
            <a:ext uri="{FF2B5EF4-FFF2-40B4-BE49-F238E27FC236}">
              <a16:creationId xmlns:a16="http://schemas.microsoft.com/office/drawing/2014/main" id="{00000000-0008-0000-0500-0000281C7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19</xdr:col>
      <xdr:colOff>0</xdr:colOff>
      <xdr:row>17</xdr:row>
      <xdr:rowOff>47625</xdr:rowOff>
    </xdr:from>
    <xdr:ext cx="6286500" cy="2876550"/>
    <xdr:graphicFrame macro="">
      <xdr:nvGraphicFramePr>
        <xdr:cNvPr id="320409207" name="Chart 12">
          <a:extLst>
            <a:ext uri="{FF2B5EF4-FFF2-40B4-BE49-F238E27FC236}">
              <a16:creationId xmlns:a16="http://schemas.microsoft.com/office/drawing/2014/main" id="{00000000-0008-0000-0500-0000770E19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19</xdr:col>
      <xdr:colOff>0</xdr:colOff>
      <xdr:row>32</xdr:row>
      <xdr:rowOff>19050</xdr:rowOff>
    </xdr:from>
    <xdr:ext cx="6286500" cy="2876550"/>
    <xdr:graphicFrame macro="">
      <xdr:nvGraphicFramePr>
        <xdr:cNvPr id="447671068" name="Chart 13">
          <a:extLst>
            <a:ext uri="{FF2B5EF4-FFF2-40B4-BE49-F238E27FC236}">
              <a16:creationId xmlns:a16="http://schemas.microsoft.com/office/drawing/2014/main" id="{00000000-0008-0000-0500-00001CEBA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13</xdr:col>
      <xdr:colOff>495300</xdr:colOff>
      <xdr:row>9</xdr:row>
      <xdr:rowOff>9525</xdr:rowOff>
    </xdr:from>
    <xdr:ext cx="5495925" cy="2876550"/>
    <xdr:graphicFrame macro="">
      <xdr:nvGraphicFramePr>
        <xdr:cNvPr id="1077066892" name="Chart 14">
          <a:extLst>
            <a:ext uri="{FF2B5EF4-FFF2-40B4-BE49-F238E27FC236}">
              <a16:creationId xmlns:a16="http://schemas.microsoft.com/office/drawing/2014/main" id="{00000000-0008-0000-0500-00008CBC32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13</xdr:col>
      <xdr:colOff>533400</xdr:colOff>
      <xdr:row>24</xdr:row>
      <xdr:rowOff>47625</xdr:rowOff>
    </xdr:from>
    <xdr:ext cx="5495925" cy="2876550"/>
    <xdr:graphicFrame macro="">
      <xdr:nvGraphicFramePr>
        <xdr:cNvPr id="1229701296" name="Chart 15">
          <a:extLst>
            <a:ext uri="{FF2B5EF4-FFF2-40B4-BE49-F238E27FC236}">
              <a16:creationId xmlns:a16="http://schemas.microsoft.com/office/drawing/2014/main" id="{00000000-0008-0000-0500-0000B0C04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17</xdr:col>
      <xdr:colOff>685800</xdr:colOff>
      <xdr:row>20</xdr:row>
      <xdr:rowOff>180975</xdr:rowOff>
    </xdr:from>
    <xdr:ext cx="14573250" cy="6391275"/>
    <xdr:graphicFrame macro="">
      <xdr:nvGraphicFramePr>
        <xdr:cNvPr id="1095053764" name="Chart 17">
          <a:extLst>
            <a:ext uri="{FF2B5EF4-FFF2-40B4-BE49-F238E27FC236}">
              <a16:creationId xmlns:a16="http://schemas.microsoft.com/office/drawing/2014/main" id="{00000000-0008-0000-0600-0000C43145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15" workbookViewId="0">
      <selection activeCell="F28" sqref="F28"/>
    </sheetView>
  </sheetViews>
  <sheetFormatPr baseColWidth="10" defaultRowHeight="15"/>
  <cols>
    <col min="1" max="1" width="14.42578125" bestFit="1" customWidth="1"/>
    <col min="5" max="5" width="12.5703125" bestFit="1" customWidth="1"/>
    <col min="6" max="6" width="16.140625" bestFit="1" customWidth="1"/>
    <col min="8" max="9" width="12.5703125" bestFit="1" customWidth="1"/>
    <col min="10" max="10" width="12" bestFit="1" customWidth="1"/>
    <col min="11" max="11" width="12.140625" bestFit="1" customWidth="1"/>
    <col min="12" max="12" width="18.7109375" bestFit="1" customWidth="1"/>
    <col min="13" max="13" width="8.28515625" bestFit="1" customWidth="1"/>
    <col min="14" max="15" width="12" bestFit="1" customWidth="1"/>
  </cols>
  <sheetData>
    <row r="5" spans="1:13" ht="18.75">
      <c r="C5" s="90" t="s">
        <v>159</v>
      </c>
      <c r="D5" s="90"/>
      <c r="E5" s="90"/>
      <c r="F5" s="90"/>
    </row>
    <row r="6" spans="1:13">
      <c r="A6" s="44" t="s">
        <v>149</v>
      </c>
      <c r="B6" s="44" t="s">
        <v>150</v>
      </c>
      <c r="C6" s="44" t="s">
        <v>151</v>
      </c>
      <c r="D6" s="45" t="s">
        <v>152</v>
      </c>
      <c r="E6" s="45" t="s">
        <v>153</v>
      </c>
      <c r="F6" s="73" t="s">
        <v>161</v>
      </c>
      <c r="H6" s="49"/>
    </row>
    <row r="7" spans="1:13">
      <c r="A7" s="44">
        <v>3650</v>
      </c>
      <c r="B7" s="44">
        <v>0.5</v>
      </c>
      <c r="C7" s="44">
        <v>8</v>
      </c>
      <c r="D7" s="45">
        <v>0</v>
      </c>
      <c r="E7" s="45">
        <f t="shared" ref="E7:E27" si="0">2*1825*D7</f>
        <v>0</v>
      </c>
      <c r="F7" s="44">
        <f t="shared" ref="F7:F10" si="1">E7*$B$7</f>
        <v>0</v>
      </c>
      <c r="H7" s="44"/>
      <c r="I7" s="45"/>
      <c r="J7" s="44"/>
      <c r="K7" s="44"/>
    </row>
    <row r="8" spans="1:13">
      <c r="C8" s="44">
        <v>8.5000000000000107</v>
      </c>
      <c r="D8" s="47">
        <v>0</v>
      </c>
      <c r="E8" s="47">
        <f t="shared" si="0"/>
        <v>0</v>
      </c>
      <c r="F8" s="44">
        <f t="shared" si="1"/>
        <v>0</v>
      </c>
      <c r="H8" s="44"/>
      <c r="I8" s="45"/>
      <c r="J8" s="44"/>
      <c r="K8" s="44"/>
    </row>
    <row r="9" spans="1:13">
      <c r="C9" s="44">
        <v>9.0000000000000107</v>
      </c>
      <c r="D9" s="46">
        <v>0.05</v>
      </c>
      <c r="E9" s="46">
        <f t="shared" si="0"/>
        <v>182.5</v>
      </c>
      <c r="F9" s="44">
        <f t="shared" si="1"/>
        <v>91.25</v>
      </c>
      <c r="H9" s="44"/>
      <c r="I9" s="45"/>
      <c r="J9" s="44"/>
      <c r="K9" s="44"/>
    </row>
    <row r="10" spans="1:13">
      <c r="C10" s="44">
        <v>9.5000000000000195</v>
      </c>
      <c r="D10" s="46">
        <v>0.05</v>
      </c>
      <c r="E10" s="46">
        <f t="shared" si="0"/>
        <v>182.5</v>
      </c>
      <c r="F10" s="44">
        <f t="shared" si="1"/>
        <v>91.25</v>
      </c>
      <c r="H10" s="44"/>
      <c r="I10" s="72"/>
      <c r="J10" s="44"/>
      <c r="K10" s="44"/>
    </row>
    <row r="11" spans="1:13">
      <c r="C11" s="44">
        <v>10</v>
      </c>
      <c r="D11" s="79">
        <v>0.25</v>
      </c>
      <c r="E11" s="79">
        <f t="shared" si="0"/>
        <v>912.5</v>
      </c>
      <c r="F11" s="44">
        <f>E11*$B$7*0</f>
        <v>0</v>
      </c>
      <c r="H11" s="44"/>
      <c r="I11" s="72"/>
      <c r="J11" s="44"/>
      <c r="K11" s="44"/>
    </row>
    <row r="12" spans="1:13">
      <c r="C12" s="44">
        <v>10.5</v>
      </c>
      <c r="D12" s="79">
        <v>0.25</v>
      </c>
      <c r="E12" s="79">
        <f t="shared" si="0"/>
        <v>912.5</v>
      </c>
      <c r="F12" s="44">
        <f>E12*$B$7*0</f>
        <v>0</v>
      </c>
      <c r="H12" s="44"/>
      <c r="I12" s="72"/>
      <c r="J12" s="44"/>
      <c r="K12" s="44"/>
    </row>
    <row r="13" spans="1:13">
      <c r="C13" s="44">
        <v>11</v>
      </c>
      <c r="D13" s="76">
        <v>0.35</v>
      </c>
      <c r="E13" s="76">
        <f t="shared" si="0"/>
        <v>1277.5</v>
      </c>
      <c r="F13" s="44">
        <v>0</v>
      </c>
      <c r="H13" s="44"/>
      <c r="I13" s="72"/>
      <c r="J13" s="44"/>
      <c r="K13" s="44"/>
    </row>
    <row r="14" spans="1:13">
      <c r="C14" s="44">
        <v>11.5</v>
      </c>
      <c r="D14" s="76">
        <v>0.55000000000000004</v>
      </c>
      <c r="E14" s="76">
        <f t="shared" si="0"/>
        <v>2007.5000000000002</v>
      </c>
      <c r="F14" s="44">
        <v>0</v>
      </c>
      <c r="H14" s="44"/>
      <c r="I14" s="45"/>
      <c r="J14" s="44"/>
      <c r="K14" s="44"/>
      <c r="L14" s="44"/>
      <c r="M14" s="44"/>
    </row>
    <row r="15" spans="1:13">
      <c r="C15" s="44">
        <v>12.000000000000099</v>
      </c>
      <c r="D15" s="77">
        <v>0.95</v>
      </c>
      <c r="E15" s="77">
        <f t="shared" si="0"/>
        <v>3467.5</v>
      </c>
      <c r="F15" s="44">
        <v>0</v>
      </c>
      <c r="H15" s="44"/>
      <c r="I15" s="45"/>
      <c r="J15" s="44"/>
      <c r="K15" s="44"/>
      <c r="L15" s="44"/>
      <c r="M15" s="44"/>
    </row>
    <row r="16" spans="1:13">
      <c r="C16" s="44">
        <v>12.500000000000099</v>
      </c>
      <c r="D16" s="76">
        <v>0.55000000000000004</v>
      </c>
      <c r="E16" s="76">
        <f t="shared" si="0"/>
        <v>2007.5000000000002</v>
      </c>
      <c r="F16" s="73">
        <v>0</v>
      </c>
      <c r="H16" s="44"/>
      <c r="I16" s="45"/>
      <c r="J16" s="44"/>
      <c r="K16" s="44"/>
      <c r="L16" s="44"/>
      <c r="M16" s="44"/>
    </row>
    <row r="17" spans="3:14">
      <c r="C17" s="44">
        <v>13.000000000000099</v>
      </c>
      <c r="D17" s="76">
        <v>0.55000000000000004</v>
      </c>
      <c r="E17" s="76">
        <f t="shared" si="0"/>
        <v>2007.5000000000002</v>
      </c>
      <c r="F17" s="73">
        <v>0</v>
      </c>
      <c r="H17" s="44"/>
      <c r="I17" s="45"/>
      <c r="J17" s="44"/>
      <c r="K17" s="44"/>
      <c r="L17" s="44"/>
      <c r="M17" s="44"/>
    </row>
    <row r="18" spans="3:14">
      <c r="C18" s="44">
        <v>13.500000000000099</v>
      </c>
      <c r="D18" s="76">
        <v>0.35</v>
      </c>
      <c r="E18" s="76">
        <f t="shared" si="0"/>
        <v>1277.5</v>
      </c>
      <c r="F18" s="73">
        <v>0</v>
      </c>
      <c r="H18" s="44"/>
      <c r="I18" s="45"/>
      <c r="J18" s="44"/>
      <c r="K18" s="44"/>
      <c r="L18" s="44"/>
      <c r="M18" s="44"/>
    </row>
    <row r="19" spans="3:14">
      <c r="C19" s="44">
        <v>14.000000000000099</v>
      </c>
      <c r="D19" s="79">
        <v>0.25</v>
      </c>
      <c r="E19" s="79">
        <f t="shared" si="0"/>
        <v>912.5</v>
      </c>
      <c r="F19" s="44">
        <f>E19*$B$7*0</f>
        <v>0</v>
      </c>
      <c r="H19" s="44"/>
      <c r="I19" s="45"/>
      <c r="J19" s="44"/>
      <c r="K19" s="44"/>
      <c r="L19" s="44"/>
      <c r="M19" s="44"/>
    </row>
    <row r="20" spans="3:14">
      <c r="C20" s="44">
        <v>14.500000000000099</v>
      </c>
      <c r="D20" s="79">
        <v>0.25</v>
      </c>
      <c r="E20" s="79">
        <f t="shared" si="0"/>
        <v>912.5</v>
      </c>
      <c r="F20" s="44">
        <f>E20*$B$7*0</f>
        <v>0</v>
      </c>
      <c r="H20" s="44"/>
      <c r="I20" s="72"/>
      <c r="J20" s="44"/>
      <c r="K20" s="44"/>
    </row>
    <row r="21" spans="3:14">
      <c r="C21" s="44">
        <v>15.000000000000099</v>
      </c>
      <c r="D21" s="46">
        <v>0.15</v>
      </c>
      <c r="E21" s="46">
        <f t="shared" si="0"/>
        <v>547.5</v>
      </c>
      <c r="F21" s="44">
        <f t="shared" ref="F21:F27" si="2">E21*$B$7</f>
        <v>273.75</v>
      </c>
      <c r="H21" s="44"/>
      <c r="I21" s="72"/>
      <c r="J21" s="44"/>
      <c r="K21" s="44"/>
    </row>
    <row r="22" spans="3:14">
      <c r="C22" s="44">
        <v>15.500000000000099</v>
      </c>
      <c r="D22" s="46">
        <v>0.15</v>
      </c>
      <c r="E22" s="46">
        <f t="shared" si="0"/>
        <v>547.5</v>
      </c>
      <c r="F22" s="44">
        <f t="shared" si="2"/>
        <v>273.75</v>
      </c>
      <c r="H22" s="44"/>
      <c r="I22" s="72"/>
      <c r="J22" s="44"/>
      <c r="K22" s="44"/>
    </row>
    <row r="23" spans="3:14">
      <c r="C23" s="44">
        <v>16.000000000000099</v>
      </c>
      <c r="D23" s="46">
        <v>0.1</v>
      </c>
      <c r="E23" s="46">
        <f t="shared" si="0"/>
        <v>365</v>
      </c>
      <c r="F23" s="44">
        <f t="shared" si="2"/>
        <v>182.5</v>
      </c>
      <c r="H23" s="44"/>
      <c r="I23" s="72"/>
      <c r="J23" s="44"/>
      <c r="K23" s="44"/>
    </row>
    <row r="24" spans="3:14">
      <c r="C24" s="44">
        <v>16.500000000000099</v>
      </c>
      <c r="D24" s="46">
        <v>0.1</v>
      </c>
      <c r="E24" s="46">
        <f t="shared" si="0"/>
        <v>365</v>
      </c>
      <c r="F24" s="44">
        <f t="shared" si="2"/>
        <v>182.5</v>
      </c>
      <c r="H24" s="44"/>
      <c r="I24" s="72"/>
      <c r="J24" s="44"/>
      <c r="K24" s="44"/>
    </row>
    <row r="25" spans="3:14">
      <c r="C25" s="44">
        <v>17.000000000000099</v>
      </c>
      <c r="D25" s="46">
        <v>0.05</v>
      </c>
      <c r="E25" s="46">
        <f t="shared" si="0"/>
        <v>182.5</v>
      </c>
      <c r="F25" s="44">
        <f t="shared" si="2"/>
        <v>91.25</v>
      </c>
      <c r="H25" s="44"/>
      <c r="I25" s="72"/>
      <c r="J25" s="44"/>
      <c r="K25" s="44"/>
    </row>
    <row r="26" spans="3:14">
      <c r="C26" s="44">
        <v>17.500000000000099</v>
      </c>
      <c r="D26" s="46">
        <v>0.05</v>
      </c>
      <c r="E26" s="46">
        <f t="shared" si="0"/>
        <v>182.5</v>
      </c>
      <c r="F26" s="44">
        <f t="shared" si="2"/>
        <v>91.25</v>
      </c>
      <c r="H26" s="44"/>
      <c r="I26" s="72"/>
      <c r="J26" s="44"/>
      <c r="K26" s="44"/>
    </row>
    <row r="27" spans="3:14">
      <c r="C27" s="44">
        <v>18.000000000000099</v>
      </c>
      <c r="D27" s="45">
        <v>0</v>
      </c>
      <c r="E27" s="45">
        <f t="shared" si="0"/>
        <v>0</v>
      </c>
      <c r="F27" s="44">
        <f t="shared" si="2"/>
        <v>0</v>
      </c>
      <c r="H27" s="44"/>
      <c r="I27" s="72"/>
      <c r="J27" s="44"/>
      <c r="K27" s="44"/>
    </row>
    <row r="28" spans="3:14">
      <c r="C28" s="59" t="s">
        <v>160</v>
      </c>
      <c r="F28" s="53">
        <f>SUM(F7:F27)</f>
        <v>1277.5</v>
      </c>
      <c r="H28" s="44"/>
      <c r="I28" s="45"/>
      <c r="J28" s="44"/>
      <c r="K28" s="44"/>
    </row>
    <row r="29" spans="3:14">
      <c r="K29" s="49"/>
    </row>
    <row r="32" spans="3:14">
      <c r="L32" s="61"/>
      <c r="M32" s="61"/>
      <c r="N32" s="61"/>
    </row>
    <row r="33" spans="3:14">
      <c r="H33" s="61"/>
      <c r="I33" s="61"/>
      <c r="J33" s="61"/>
      <c r="L33" s="62"/>
      <c r="M33" s="62"/>
      <c r="N33" s="62"/>
    </row>
    <row r="34" spans="3:14">
      <c r="H34" s="62"/>
      <c r="I34" s="62"/>
      <c r="J34" s="62"/>
      <c r="L34" s="68"/>
      <c r="M34" s="69"/>
      <c r="N34" s="65"/>
    </row>
    <row r="35" spans="3:14">
      <c r="H35" s="63"/>
      <c r="I35" s="64"/>
      <c r="J35" s="63"/>
      <c r="L35" s="63"/>
      <c r="M35" s="64"/>
      <c r="N35" s="63"/>
    </row>
    <row r="36" spans="3:14">
      <c r="H36" s="63"/>
      <c r="I36" s="64"/>
      <c r="J36" s="63"/>
      <c r="L36" s="63"/>
      <c r="M36" s="64"/>
      <c r="N36" s="63"/>
    </row>
    <row r="37" spans="3:14" ht="18.75">
      <c r="C37" s="71"/>
      <c r="D37" s="71"/>
      <c r="E37" s="71"/>
      <c r="F37" s="71"/>
      <c r="H37" s="63"/>
      <c r="I37" s="64"/>
      <c r="J37" s="63"/>
      <c r="L37" s="63"/>
      <c r="M37" s="64"/>
      <c r="N37" s="63"/>
    </row>
    <row r="38" spans="3:14">
      <c r="C38" s="44"/>
      <c r="D38" s="45"/>
      <c r="E38" s="45"/>
      <c r="F38" s="44"/>
      <c r="H38" s="65"/>
      <c r="I38" s="64"/>
      <c r="J38" s="63"/>
      <c r="L38" s="65"/>
      <c r="M38" s="64"/>
      <c r="N38" s="63"/>
    </row>
    <row r="39" spans="3:14">
      <c r="C39" s="44"/>
      <c r="D39" s="45"/>
      <c r="E39" s="45"/>
      <c r="F39" s="44"/>
      <c r="H39" s="65"/>
      <c r="I39" s="65"/>
      <c r="J39" s="65"/>
      <c r="L39" s="65"/>
      <c r="M39" s="65"/>
      <c r="N39" s="65"/>
    </row>
    <row r="40" spans="3:14">
      <c r="C40" s="44"/>
      <c r="D40" s="47"/>
      <c r="E40" s="47"/>
      <c r="F40" s="44"/>
      <c r="H40" s="62"/>
      <c r="I40" s="62"/>
      <c r="J40" s="62"/>
      <c r="L40" s="62"/>
      <c r="M40" s="62"/>
      <c r="N40" s="62"/>
    </row>
    <row r="41" spans="3:14">
      <c r="C41" s="44"/>
      <c r="D41" s="72"/>
      <c r="E41" s="72"/>
      <c r="F41" s="44"/>
      <c r="H41" s="63"/>
      <c r="I41" s="66"/>
      <c r="J41" s="66"/>
      <c r="L41" s="68"/>
      <c r="M41" s="70"/>
      <c r="N41" s="70"/>
    </row>
    <row r="42" spans="3:14">
      <c r="C42" s="44"/>
      <c r="D42" s="72"/>
      <c r="E42" s="72"/>
      <c r="F42" s="44"/>
      <c r="H42" s="63"/>
      <c r="I42" s="66"/>
      <c r="J42" s="66"/>
      <c r="L42" s="63"/>
      <c r="M42" s="66"/>
      <c r="N42" s="66"/>
    </row>
    <row r="43" spans="3:14">
      <c r="C43" s="44"/>
      <c r="D43" s="47"/>
      <c r="E43" s="47"/>
      <c r="F43" s="44"/>
      <c r="H43" s="63"/>
      <c r="I43" s="66"/>
      <c r="J43" s="66"/>
      <c r="L43" s="63"/>
      <c r="M43" s="66"/>
      <c r="N43" s="66"/>
    </row>
    <row r="44" spans="3:14">
      <c r="C44" s="44"/>
      <c r="D44" s="47"/>
      <c r="E44" s="47"/>
      <c r="F44" s="44"/>
      <c r="H44" s="65"/>
      <c r="I44" s="67"/>
      <c r="J44" s="67"/>
      <c r="L44" s="63"/>
      <c r="M44" s="66"/>
      <c r="N44" s="66"/>
    </row>
    <row r="45" spans="3:14">
      <c r="C45" s="44"/>
      <c r="D45" s="45"/>
      <c r="E45" s="45"/>
      <c r="F45" s="44"/>
      <c r="L45" s="65"/>
      <c r="M45" s="67"/>
      <c r="N45" s="66"/>
    </row>
    <row r="46" spans="3:14">
      <c r="C46" s="44"/>
      <c r="D46" s="45"/>
      <c r="E46" s="45"/>
      <c r="F46" s="44"/>
    </row>
    <row r="47" spans="3:14">
      <c r="C47" s="44"/>
      <c r="D47" s="45"/>
      <c r="E47" s="45"/>
      <c r="F47" s="44"/>
    </row>
    <row r="48" spans="3:14">
      <c r="C48" s="44"/>
      <c r="D48" s="45"/>
      <c r="E48" s="45"/>
      <c r="F48" s="44"/>
    </row>
    <row r="49" spans="3:6">
      <c r="C49" s="44"/>
      <c r="D49" s="45"/>
      <c r="E49" s="45"/>
      <c r="F49" s="44"/>
    </row>
    <row r="50" spans="3:6">
      <c r="C50" s="44"/>
      <c r="D50" s="45"/>
      <c r="E50" s="45"/>
      <c r="F50" s="44"/>
    </row>
    <row r="51" spans="3:6">
      <c r="C51" s="44"/>
      <c r="D51" s="47"/>
      <c r="E51" s="47"/>
      <c r="F51" s="44"/>
    </row>
    <row r="52" spans="3:6">
      <c r="C52" s="44"/>
      <c r="D52" s="47"/>
      <c r="E52" s="47"/>
      <c r="F52" s="44"/>
    </row>
    <row r="53" spans="3:6">
      <c r="C53" s="44"/>
      <c r="D53" s="72"/>
      <c r="E53" s="72"/>
      <c r="F53" s="44"/>
    </row>
    <row r="54" spans="3:6">
      <c r="C54" s="44"/>
      <c r="D54" s="72"/>
      <c r="E54" s="72"/>
      <c r="F54" s="44"/>
    </row>
    <row r="55" spans="3:6">
      <c r="C55" s="44"/>
      <c r="D55" s="72"/>
      <c r="E55" s="72"/>
      <c r="F55" s="44"/>
    </row>
    <row r="56" spans="3:6">
      <c r="C56" s="44"/>
      <c r="D56" s="72"/>
      <c r="E56" s="72"/>
      <c r="F56" s="44"/>
    </row>
    <row r="57" spans="3:6">
      <c r="C57" s="44"/>
      <c r="D57" s="72"/>
      <c r="E57" s="72"/>
      <c r="F57" s="44"/>
    </row>
    <row r="58" spans="3:6">
      <c r="C58" s="44"/>
      <c r="D58" s="72"/>
      <c r="E58" s="72"/>
      <c r="F58" s="44"/>
    </row>
    <row r="59" spans="3:6">
      <c r="C59" s="44"/>
      <c r="D59" s="45"/>
      <c r="E59" s="45"/>
      <c r="F59" s="44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6" workbookViewId="0">
      <selection activeCell="K24" sqref="K24"/>
    </sheetView>
  </sheetViews>
  <sheetFormatPr baseColWidth="10" defaultRowHeight="15"/>
  <cols>
    <col min="1" max="1" width="15.42578125" bestFit="1" customWidth="1"/>
    <col min="6" max="6" width="16.140625" bestFit="1" customWidth="1"/>
    <col min="14" max="14" width="12.5703125" bestFit="1" customWidth="1"/>
    <col min="15" max="16" width="12" bestFit="1" customWidth="1"/>
    <col min="18" max="18" width="13.7109375" bestFit="1" customWidth="1"/>
    <col min="19" max="19" width="12.5703125" bestFit="1" customWidth="1"/>
    <col min="20" max="20" width="12" bestFit="1" customWidth="1"/>
    <col min="21" max="21" width="12.140625" bestFit="1" customWidth="1"/>
  </cols>
  <sheetData>
    <row r="2" spans="1:21" ht="18.75">
      <c r="C2" s="71"/>
      <c r="D2" s="71"/>
      <c r="E2" s="71"/>
      <c r="F2" s="71"/>
      <c r="G2" s="71"/>
      <c r="H2" s="71"/>
      <c r="I2" s="71"/>
      <c r="J2" s="71"/>
      <c r="K2" s="71"/>
      <c r="L2" s="71"/>
      <c r="R2" s="49"/>
      <c r="S2" s="49"/>
      <c r="T2" s="49"/>
      <c r="U2" s="49"/>
    </row>
    <row r="3" spans="1:21">
      <c r="A3" s="44" t="s">
        <v>149</v>
      </c>
      <c r="B3" s="44" t="s">
        <v>150</v>
      </c>
      <c r="C3" s="44" t="s">
        <v>151</v>
      </c>
      <c r="D3" s="45" t="s">
        <v>152</v>
      </c>
      <c r="E3" s="45" t="s">
        <v>154</v>
      </c>
      <c r="F3" s="73" t="s">
        <v>161</v>
      </c>
      <c r="G3" s="44"/>
      <c r="H3" s="44"/>
      <c r="I3" s="44"/>
      <c r="J3" s="44"/>
      <c r="K3" s="44"/>
      <c r="L3" s="44"/>
      <c r="N3" s="44"/>
      <c r="O3" s="44"/>
      <c r="P3" s="44"/>
      <c r="R3" s="74"/>
      <c r="S3" s="45"/>
      <c r="T3" s="74"/>
      <c r="U3" s="74"/>
    </row>
    <row r="4" spans="1:21">
      <c r="A4" s="44">
        <v>3650</v>
      </c>
      <c r="B4" s="44">
        <v>0.5</v>
      </c>
      <c r="C4" s="44">
        <v>8</v>
      </c>
      <c r="D4" s="58">
        <v>0</v>
      </c>
      <c r="E4" s="58">
        <f t="shared" ref="E4:E24" si="0">2*1825*D4</f>
        <v>0</v>
      </c>
      <c r="F4" s="44">
        <f>$B$4*E4</f>
        <v>0</v>
      </c>
      <c r="G4" s="44"/>
      <c r="H4" s="44"/>
      <c r="I4" s="44"/>
      <c r="J4" s="44"/>
      <c r="K4" s="44"/>
      <c r="L4" s="44"/>
      <c r="N4" s="44"/>
      <c r="O4" s="44"/>
      <c r="P4" s="44"/>
      <c r="R4" s="44"/>
      <c r="S4" s="45"/>
      <c r="T4" s="44"/>
      <c r="U4" s="44"/>
    </row>
    <row r="5" spans="1:21">
      <c r="C5" s="44">
        <v>8.5</v>
      </c>
      <c r="D5" s="46">
        <v>0.1</v>
      </c>
      <c r="E5" s="46">
        <f t="shared" si="0"/>
        <v>365</v>
      </c>
      <c r="F5" s="44">
        <f t="shared" ref="F5:F24" si="1">$B$4*E5</f>
        <v>182.5</v>
      </c>
      <c r="G5" s="44"/>
      <c r="H5" s="44"/>
      <c r="I5" s="44"/>
      <c r="K5" s="44"/>
      <c r="L5" s="44"/>
      <c r="N5" s="44"/>
      <c r="O5" s="44"/>
      <c r="P5" s="44"/>
      <c r="R5" s="44"/>
      <c r="S5" s="72"/>
      <c r="T5" s="44"/>
      <c r="U5" s="44"/>
    </row>
    <row r="6" spans="1:21">
      <c r="C6" s="44">
        <v>9</v>
      </c>
      <c r="D6" s="79">
        <v>0.25</v>
      </c>
      <c r="E6" s="79">
        <f t="shared" si="0"/>
        <v>912.5</v>
      </c>
      <c r="F6" s="44">
        <f>$B$4*E6*0</f>
        <v>0</v>
      </c>
      <c r="G6" s="44"/>
      <c r="H6" s="44"/>
      <c r="I6" s="44"/>
      <c r="K6" s="44"/>
      <c r="L6" s="44"/>
      <c r="N6" s="44"/>
      <c r="O6" s="44"/>
      <c r="P6" s="44"/>
      <c r="R6" s="44"/>
      <c r="S6" s="47"/>
      <c r="T6" s="44"/>
      <c r="U6" s="44"/>
    </row>
    <row r="7" spans="1:21">
      <c r="C7" s="44">
        <v>9.5</v>
      </c>
      <c r="D7" s="76">
        <v>0.4</v>
      </c>
      <c r="E7" s="76">
        <f t="shared" si="0"/>
        <v>1460</v>
      </c>
      <c r="F7" s="44">
        <v>0</v>
      </c>
      <c r="G7" s="44"/>
      <c r="H7" s="44"/>
      <c r="I7" s="44"/>
      <c r="K7" s="44"/>
      <c r="L7" s="44"/>
      <c r="N7" s="44"/>
      <c r="O7" s="44"/>
      <c r="P7" s="44"/>
      <c r="R7" s="44"/>
      <c r="S7" s="45"/>
      <c r="T7" s="44"/>
      <c r="U7" s="44"/>
    </row>
    <row r="8" spans="1:21">
      <c r="C8" s="44">
        <v>10</v>
      </c>
      <c r="D8" s="77">
        <v>0.95</v>
      </c>
      <c r="E8" s="77">
        <f t="shared" si="0"/>
        <v>3467.5</v>
      </c>
      <c r="F8" s="44">
        <v>0</v>
      </c>
      <c r="G8" s="44"/>
      <c r="H8" s="44"/>
      <c r="I8" s="44"/>
      <c r="K8" s="44"/>
      <c r="L8" s="44"/>
      <c r="N8" s="44"/>
      <c r="O8" s="44"/>
      <c r="P8" s="44"/>
      <c r="R8" s="44"/>
      <c r="S8" s="45"/>
      <c r="T8" s="44"/>
      <c r="U8" s="44"/>
    </row>
    <row r="9" spans="1:21">
      <c r="C9" s="44">
        <v>10.5</v>
      </c>
      <c r="D9" s="77">
        <v>0.75</v>
      </c>
      <c r="E9" s="77">
        <f t="shared" si="0"/>
        <v>2737.5</v>
      </c>
      <c r="F9" s="44">
        <v>0</v>
      </c>
      <c r="G9" s="44"/>
      <c r="H9" s="44"/>
      <c r="I9" s="44"/>
      <c r="K9" s="44"/>
      <c r="L9" s="44"/>
      <c r="N9" s="44"/>
      <c r="O9" s="44"/>
      <c r="P9" s="44"/>
      <c r="R9" s="44"/>
      <c r="S9" s="45"/>
      <c r="T9" s="44"/>
      <c r="U9" s="44"/>
    </row>
    <row r="10" spans="1:21">
      <c r="C10" s="48">
        <v>11</v>
      </c>
      <c r="D10" s="76">
        <v>0.35</v>
      </c>
      <c r="E10" s="76">
        <f t="shared" si="0"/>
        <v>1277.5</v>
      </c>
      <c r="F10" s="44">
        <v>0</v>
      </c>
      <c r="G10" s="44"/>
      <c r="H10" s="44"/>
      <c r="I10" s="44"/>
      <c r="K10" s="44"/>
      <c r="L10" s="44"/>
      <c r="N10" s="44"/>
      <c r="O10" s="44"/>
      <c r="P10" s="44"/>
      <c r="R10" s="44"/>
      <c r="S10" s="45"/>
      <c r="T10" s="44"/>
      <c r="U10" s="44"/>
    </row>
    <row r="11" spans="1:21">
      <c r="C11" s="51">
        <v>11.5</v>
      </c>
      <c r="D11" s="46">
        <v>0.15</v>
      </c>
      <c r="E11" s="46">
        <f t="shared" si="0"/>
        <v>547.5</v>
      </c>
      <c r="F11" s="44">
        <f t="shared" si="1"/>
        <v>273.75</v>
      </c>
      <c r="G11" s="44"/>
      <c r="H11" s="44"/>
      <c r="I11" s="44"/>
      <c r="K11" s="44"/>
      <c r="L11" s="44"/>
      <c r="N11" s="44"/>
      <c r="O11" s="44"/>
      <c r="P11" s="44"/>
      <c r="R11" s="44"/>
      <c r="S11" s="72"/>
      <c r="T11" s="44"/>
      <c r="U11" s="44"/>
    </row>
    <row r="12" spans="1:21">
      <c r="C12" s="48">
        <v>12</v>
      </c>
      <c r="D12" s="46">
        <v>0.05</v>
      </c>
      <c r="E12" s="46">
        <f t="shared" si="0"/>
        <v>182.5</v>
      </c>
      <c r="F12" s="44">
        <f t="shared" si="1"/>
        <v>91.25</v>
      </c>
      <c r="G12" s="44"/>
      <c r="H12" s="44"/>
      <c r="I12" s="44"/>
      <c r="K12" s="44"/>
      <c r="L12" s="44"/>
      <c r="N12" s="44"/>
      <c r="O12" s="44"/>
      <c r="P12" s="44"/>
      <c r="R12" s="44"/>
      <c r="S12" s="72"/>
      <c r="T12" s="44"/>
      <c r="U12" s="44"/>
    </row>
    <row r="13" spans="1:21">
      <c r="C13" s="51">
        <v>12.5</v>
      </c>
      <c r="D13" s="75">
        <v>0</v>
      </c>
      <c r="E13" s="75">
        <f t="shared" si="0"/>
        <v>0</v>
      </c>
      <c r="F13" s="44">
        <f t="shared" si="1"/>
        <v>0</v>
      </c>
      <c r="G13" s="44"/>
      <c r="H13" s="44"/>
      <c r="I13" s="44"/>
      <c r="K13" s="44"/>
      <c r="L13" s="44"/>
      <c r="N13" s="44"/>
      <c r="O13" s="44"/>
      <c r="P13" s="44"/>
      <c r="R13" s="44"/>
      <c r="S13" s="45"/>
      <c r="T13" s="44"/>
      <c r="U13" s="44"/>
    </row>
    <row r="14" spans="1:21">
      <c r="C14" s="48">
        <v>13</v>
      </c>
      <c r="D14" s="75">
        <v>0</v>
      </c>
      <c r="E14" s="75">
        <f t="shared" si="0"/>
        <v>0</v>
      </c>
      <c r="F14" s="44">
        <f t="shared" si="1"/>
        <v>0</v>
      </c>
      <c r="G14" s="44"/>
      <c r="H14" s="44"/>
      <c r="I14" s="44"/>
      <c r="K14" s="44"/>
      <c r="L14" s="44"/>
      <c r="N14" s="44"/>
      <c r="O14" s="44"/>
      <c r="P14" s="44"/>
      <c r="R14" s="44"/>
      <c r="S14" s="45"/>
      <c r="T14" s="44"/>
      <c r="U14" s="44"/>
    </row>
    <row r="15" spans="1:21">
      <c r="C15" s="51">
        <v>13.5</v>
      </c>
      <c r="D15" s="75">
        <v>0</v>
      </c>
      <c r="E15" s="75">
        <f t="shared" si="0"/>
        <v>0</v>
      </c>
      <c r="F15" s="44">
        <f t="shared" si="1"/>
        <v>0</v>
      </c>
      <c r="G15" s="44"/>
      <c r="H15" s="44"/>
      <c r="I15" s="44"/>
      <c r="K15" s="44"/>
      <c r="L15" s="44"/>
      <c r="N15" s="44"/>
      <c r="O15" s="44"/>
      <c r="P15" s="44"/>
      <c r="R15" s="44"/>
      <c r="S15" s="45"/>
      <c r="T15" s="44"/>
      <c r="U15" s="44"/>
    </row>
    <row r="16" spans="1:21">
      <c r="C16" s="48">
        <v>13.995357142857101</v>
      </c>
      <c r="D16" s="46">
        <v>0.05</v>
      </c>
      <c r="E16" s="46">
        <f t="shared" si="0"/>
        <v>182.5</v>
      </c>
      <c r="F16" s="44">
        <f t="shared" si="1"/>
        <v>91.25</v>
      </c>
      <c r="G16" s="44"/>
      <c r="H16" s="44"/>
      <c r="I16" s="44"/>
      <c r="K16" s="44"/>
      <c r="L16" s="44"/>
      <c r="O16" s="49"/>
      <c r="P16" s="49"/>
      <c r="R16" s="44"/>
      <c r="S16" s="72"/>
      <c r="T16" s="44"/>
      <c r="U16" s="44"/>
    </row>
    <row r="17" spans="3:21">
      <c r="C17" s="51">
        <v>14.5</v>
      </c>
      <c r="D17" s="46">
        <v>0.15</v>
      </c>
      <c r="E17" s="46">
        <f t="shared" si="0"/>
        <v>547.5</v>
      </c>
      <c r="F17" s="44">
        <f t="shared" si="1"/>
        <v>273.75</v>
      </c>
      <c r="G17" s="44"/>
      <c r="H17" s="44"/>
      <c r="I17" s="44"/>
      <c r="K17" s="44"/>
      <c r="L17" s="44"/>
      <c r="R17" s="44"/>
      <c r="S17" s="72"/>
      <c r="T17" s="44"/>
      <c r="U17" s="44"/>
    </row>
    <row r="18" spans="3:21">
      <c r="C18" s="48">
        <v>14.994999999999999</v>
      </c>
      <c r="D18" s="79">
        <v>0.25</v>
      </c>
      <c r="E18" s="79">
        <f t="shared" si="0"/>
        <v>912.5</v>
      </c>
      <c r="F18" s="44">
        <f>$B$4*E18*0</f>
        <v>0</v>
      </c>
      <c r="G18" s="44"/>
      <c r="H18" s="44"/>
      <c r="I18" s="44"/>
      <c r="K18" s="44"/>
      <c r="L18" s="44"/>
      <c r="N18" s="44"/>
      <c r="O18" s="44"/>
      <c r="P18" s="44"/>
      <c r="R18" s="44"/>
      <c r="S18" s="47"/>
      <c r="T18" s="44"/>
      <c r="U18" s="44"/>
    </row>
    <row r="19" spans="3:21">
      <c r="C19" s="51">
        <v>15.5</v>
      </c>
      <c r="D19" s="76">
        <v>0.35</v>
      </c>
      <c r="E19" s="76">
        <f t="shared" si="0"/>
        <v>1277.5</v>
      </c>
      <c r="F19" s="44">
        <v>0</v>
      </c>
      <c r="G19" s="44"/>
      <c r="H19" s="44"/>
      <c r="I19" s="44"/>
      <c r="K19" s="44"/>
      <c r="L19" s="44"/>
      <c r="N19" s="44"/>
      <c r="O19" s="44"/>
      <c r="P19" s="44"/>
      <c r="R19" s="44"/>
      <c r="S19" s="45"/>
      <c r="T19" s="44"/>
      <c r="U19" s="44"/>
    </row>
    <row r="20" spans="3:21">
      <c r="C20" s="48">
        <v>15.9946428571428</v>
      </c>
      <c r="D20" s="78">
        <v>0.95</v>
      </c>
      <c r="E20" s="78">
        <f t="shared" si="0"/>
        <v>3467.5</v>
      </c>
      <c r="F20" s="44">
        <v>0</v>
      </c>
      <c r="G20" s="44"/>
      <c r="H20" s="44"/>
      <c r="I20" s="44"/>
      <c r="K20" s="44"/>
      <c r="L20" s="44"/>
      <c r="N20" s="44"/>
      <c r="O20" s="44"/>
      <c r="P20" s="44"/>
      <c r="R20" s="44"/>
      <c r="S20" s="45"/>
      <c r="T20" s="44"/>
      <c r="U20" s="44"/>
    </row>
    <row r="21" spans="3:21">
      <c r="C21" s="51">
        <v>16.5</v>
      </c>
      <c r="D21" s="78">
        <v>0.7</v>
      </c>
      <c r="E21" s="78">
        <f t="shared" si="0"/>
        <v>2555</v>
      </c>
      <c r="F21" s="44">
        <v>0</v>
      </c>
      <c r="G21" s="44"/>
      <c r="H21" s="44"/>
      <c r="I21" s="44"/>
      <c r="K21" s="44"/>
      <c r="L21" s="44"/>
      <c r="N21" s="44"/>
      <c r="O21" s="44"/>
      <c r="P21" s="44"/>
      <c r="R21" s="44"/>
      <c r="S21" s="45"/>
      <c r="T21" s="44"/>
      <c r="U21" s="44"/>
    </row>
    <row r="22" spans="3:21">
      <c r="C22" s="48">
        <v>16.994285714285699</v>
      </c>
      <c r="D22" s="76">
        <v>0.45</v>
      </c>
      <c r="E22" s="76">
        <f t="shared" si="0"/>
        <v>1642.5</v>
      </c>
      <c r="F22" s="44">
        <v>0</v>
      </c>
      <c r="G22" s="44"/>
      <c r="H22" s="44"/>
      <c r="I22" s="44"/>
      <c r="K22" s="44"/>
      <c r="L22" s="44"/>
      <c r="O22" s="49"/>
      <c r="P22" s="49"/>
      <c r="R22" s="44"/>
      <c r="S22" s="45"/>
      <c r="T22" s="44"/>
      <c r="U22" s="44"/>
    </row>
    <row r="23" spans="3:21">
      <c r="C23" s="51">
        <v>17.5</v>
      </c>
      <c r="D23" s="79">
        <v>0.3</v>
      </c>
      <c r="E23" s="79">
        <f t="shared" si="0"/>
        <v>1095</v>
      </c>
      <c r="F23" s="44">
        <v>0</v>
      </c>
      <c r="G23" s="44"/>
      <c r="H23" s="44"/>
      <c r="I23" s="44"/>
      <c r="K23" s="44"/>
      <c r="L23" s="44"/>
      <c r="R23" s="44"/>
      <c r="S23" s="47"/>
      <c r="T23" s="44"/>
      <c r="U23" s="44"/>
    </row>
    <row r="24" spans="3:21">
      <c r="C24" s="48">
        <v>17.993928571428601</v>
      </c>
      <c r="D24" s="75">
        <v>0</v>
      </c>
      <c r="E24" s="75">
        <f t="shared" si="0"/>
        <v>0</v>
      </c>
      <c r="F24" s="44">
        <f t="shared" si="1"/>
        <v>0</v>
      </c>
      <c r="G24" s="44"/>
      <c r="H24" s="44"/>
      <c r="I24" s="49"/>
      <c r="J24" s="44"/>
      <c r="K24" s="44"/>
      <c r="L24" s="44"/>
      <c r="N24" s="44"/>
      <c r="O24" s="44"/>
      <c r="P24" s="44"/>
      <c r="R24" s="44"/>
      <c r="S24" s="45"/>
      <c r="T24" s="44"/>
      <c r="U24" s="44"/>
    </row>
    <row r="25" spans="3:21">
      <c r="C25" s="53" t="s">
        <v>160</v>
      </c>
      <c r="F25" s="53">
        <f>SUM(F4:F24)</f>
        <v>912.5</v>
      </c>
      <c r="H25" s="49"/>
      <c r="L25" s="49"/>
      <c r="N25" s="44"/>
      <c r="O25" s="52"/>
      <c r="P25" s="52"/>
      <c r="U25" s="53"/>
    </row>
    <row r="26" spans="3:21">
      <c r="N26" s="44"/>
      <c r="O26" s="52"/>
      <c r="P26" s="52"/>
    </row>
    <row r="27" spans="3:21">
      <c r="N27" s="44"/>
      <c r="O27" s="52"/>
      <c r="P27" s="52"/>
    </row>
    <row r="28" spans="3:21">
      <c r="O28" s="54"/>
      <c r="P28" s="54"/>
    </row>
    <row r="30" spans="3:21">
      <c r="N30" s="44"/>
      <c r="O30" s="44"/>
      <c r="P30" s="44"/>
    </row>
    <row r="31" spans="3:21">
      <c r="N31" s="44"/>
      <c r="O31" s="48"/>
      <c r="P31" s="50"/>
    </row>
    <row r="32" spans="3:21">
      <c r="N32" s="44"/>
      <c r="O32" s="48"/>
      <c r="P32" s="50"/>
    </row>
    <row r="33" spans="3:20">
      <c r="N33" s="44"/>
      <c r="O33" s="48"/>
      <c r="P33" s="50"/>
    </row>
    <row r="34" spans="3:20" ht="18.75">
      <c r="C34" s="71"/>
      <c r="D34" s="71"/>
      <c r="E34" s="71"/>
      <c r="F34" s="71"/>
      <c r="G34" s="71"/>
      <c r="H34" s="71"/>
      <c r="I34" s="71"/>
      <c r="J34" s="71"/>
      <c r="K34" s="71"/>
      <c r="L34" s="71"/>
      <c r="O34" s="55"/>
      <c r="P34" s="56"/>
    </row>
    <row r="35" spans="3:20">
      <c r="C35" s="44"/>
      <c r="D35" s="45"/>
      <c r="E35" s="45"/>
      <c r="F35" s="44"/>
      <c r="G35" s="44"/>
      <c r="H35" s="44"/>
      <c r="I35" s="44"/>
      <c r="J35" s="44"/>
      <c r="K35" s="44"/>
      <c r="L35" s="44"/>
      <c r="N35" s="61"/>
      <c r="O35" s="61"/>
      <c r="P35" s="61"/>
      <c r="Q35" s="65"/>
      <c r="R35" s="61"/>
      <c r="S35" s="61"/>
      <c r="T35" s="61"/>
    </row>
    <row r="36" spans="3:20">
      <c r="C36" s="44"/>
      <c r="D36" s="47"/>
      <c r="E36" s="47"/>
      <c r="F36" s="44"/>
      <c r="G36" s="44"/>
      <c r="H36" s="44"/>
      <c r="I36" s="44"/>
      <c r="J36" s="44"/>
      <c r="K36" s="44"/>
      <c r="L36" s="44"/>
      <c r="N36" s="62"/>
      <c r="O36" s="62"/>
      <c r="P36" s="62"/>
      <c r="Q36" s="65"/>
      <c r="R36" s="62"/>
      <c r="S36" s="62"/>
      <c r="T36" s="62"/>
    </row>
    <row r="37" spans="3:20">
      <c r="C37" s="44"/>
      <c r="D37" s="72"/>
      <c r="E37" s="72"/>
      <c r="F37" s="44"/>
      <c r="G37" s="44"/>
      <c r="H37" s="44"/>
      <c r="I37" s="44"/>
      <c r="K37" s="44"/>
      <c r="L37" s="44"/>
      <c r="N37" s="63"/>
      <c r="O37" s="64"/>
      <c r="P37" s="63"/>
      <c r="Q37" s="65"/>
      <c r="R37" s="68"/>
      <c r="S37" s="69"/>
      <c r="T37" s="65"/>
    </row>
    <row r="38" spans="3:20">
      <c r="C38" s="44"/>
      <c r="D38" s="47"/>
      <c r="E38" s="47"/>
      <c r="F38" s="44"/>
      <c r="G38" s="44"/>
      <c r="H38" s="44"/>
      <c r="I38" s="44"/>
      <c r="K38" s="44"/>
      <c r="L38" s="44"/>
      <c r="N38" s="63"/>
      <c r="O38" s="64"/>
      <c r="P38" s="63"/>
      <c r="Q38" s="65"/>
      <c r="R38" s="63"/>
      <c r="S38" s="64"/>
      <c r="T38" s="63"/>
    </row>
    <row r="39" spans="3:20">
      <c r="C39" s="44"/>
      <c r="D39" s="45"/>
      <c r="E39" s="45"/>
      <c r="F39" s="44"/>
      <c r="G39" s="44"/>
      <c r="H39" s="44"/>
      <c r="I39" s="44"/>
      <c r="K39" s="44"/>
      <c r="L39" s="44"/>
      <c r="N39" s="63"/>
      <c r="O39" s="64"/>
      <c r="P39" s="63"/>
      <c r="Q39" s="65"/>
      <c r="R39" s="63"/>
      <c r="S39" s="64"/>
      <c r="T39" s="63"/>
    </row>
    <row r="40" spans="3:20">
      <c r="C40" s="44"/>
      <c r="D40" s="45"/>
      <c r="E40" s="45"/>
      <c r="F40" s="44"/>
      <c r="G40" s="44"/>
      <c r="H40" s="44"/>
      <c r="I40" s="44"/>
      <c r="K40" s="44"/>
      <c r="L40" s="44"/>
      <c r="N40" s="65"/>
      <c r="O40" s="64"/>
      <c r="P40" s="63"/>
      <c r="Q40" s="65"/>
      <c r="R40" s="63"/>
      <c r="S40" s="64"/>
      <c r="T40" s="63"/>
    </row>
    <row r="41" spans="3:20">
      <c r="C41" s="44"/>
      <c r="D41" s="45"/>
      <c r="E41" s="45"/>
      <c r="F41" s="44"/>
      <c r="G41" s="44"/>
      <c r="H41" s="44"/>
      <c r="I41" s="44"/>
      <c r="K41" s="44"/>
      <c r="L41" s="44"/>
      <c r="N41" s="65"/>
      <c r="O41" s="65"/>
      <c r="P41" s="65"/>
      <c r="Q41" s="65"/>
      <c r="R41" s="65"/>
      <c r="S41" s="64"/>
      <c r="T41" s="63"/>
    </row>
    <row r="42" spans="3:20">
      <c r="C42" s="48"/>
      <c r="D42" s="45"/>
      <c r="E42" s="45"/>
      <c r="F42" s="44"/>
      <c r="G42" s="44"/>
      <c r="H42" s="44"/>
      <c r="I42" s="44"/>
      <c r="K42" s="44"/>
      <c r="L42" s="44"/>
      <c r="N42" s="62"/>
      <c r="O42" s="62"/>
      <c r="P42" s="62"/>
      <c r="Q42" s="65"/>
      <c r="R42" s="65"/>
      <c r="S42" s="65"/>
      <c r="T42" s="65"/>
    </row>
    <row r="43" spans="3:20">
      <c r="C43" s="51"/>
      <c r="D43" s="72"/>
      <c r="E43" s="72"/>
      <c r="F43" s="44"/>
      <c r="G43" s="44"/>
      <c r="H43" s="44"/>
      <c r="I43" s="44"/>
      <c r="K43" s="44"/>
      <c r="L43" s="44"/>
      <c r="N43" s="63"/>
      <c r="O43" s="66"/>
      <c r="P43" s="66"/>
      <c r="Q43" s="65"/>
      <c r="R43" s="62"/>
      <c r="S43" s="62"/>
      <c r="T43" s="62"/>
    </row>
    <row r="44" spans="3:20">
      <c r="C44" s="48"/>
      <c r="D44" s="72"/>
      <c r="E44" s="72"/>
      <c r="F44" s="44"/>
      <c r="G44" s="44"/>
      <c r="H44" s="44"/>
      <c r="I44" s="44"/>
      <c r="K44" s="44"/>
      <c r="L44" s="44"/>
      <c r="N44" s="63"/>
      <c r="O44" s="66"/>
      <c r="P44" s="66"/>
      <c r="Q44" s="65"/>
      <c r="R44" s="68"/>
      <c r="S44" s="70"/>
      <c r="T44" s="70"/>
    </row>
    <row r="45" spans="3:20">
      <c r="C45" s="51"/>
      <c r="D45" s="45"/>
      <c r="E45" s="45"/>
      <c r="F45" s="44"/>
      <c r="G45" s="44"/>
      <c r="H45" s="44"/>
      <c r="I45" s="44"/>
      <c r="K45" s="44"/>
      <c r="L45" s="44"/>
      <c r="N45" s="63"/>
      <c r="O45" s="66"/>
      <c r="P45" s="66"/>
      <c r="Q45" s="65"/>
      <c r="R45" s="63"/>
      <c r="S45" s="70"/>
      <c r="T45" s="70"/>
    </row>
    <row r="46" spans="3:20">
      <c r="C46" s="48"/>
      <c r="D46" s="45"/>
      <c r="E46" s="45"/>
      <c r="F46" s="44"/>
      <c r="G46" s="44"/>
      <c r="H46" s="44"/>
      <c r="I46" s="44"/>
      <c r="K46" s="44"/>
      <c r="L46" s="44"/>
      <c r="N46" s="65"/>
      <c r="O46" s="67"/>
      <c r="P46" s="67"/>
      <c r="Q46" s="65"/>
      <c r="R46" s="63"/>
      <c r="S46" s="70"/>
      <c r="T46" s="70"/>
    </row>
    <row r="47" spans="3:20">
      <c r="C47" s="51"/>
      <c r="D47" s="45"/>
      <c r="E47" s="45"/>
      <c r="F47" s="44"/>
      <c r="G47" s="44"/>
      <c r="H47" s="44"/>
      <c r="I47" s="44"/>
      <c r="K47" s="44"/>
      <c r="L47" s="44"/>
      <c r="N47" s="65"/>
      <c r="O47" s="65"/>
      <c r="P47" s="65"/>
      <c r="Q47" s="65"/>
      <c r="R47" s="63"/>
      <c r="S47" s="70"/>
      <c r="T47" s="70"/>
    </row>
    <row r="48" spans="3:20">
      <c r="C48" s="48"/>
      <c r="D48" s="72"/>
      <c r="E48" s="72"/>
      <c r="F48" s="44"/>
      <c r="G48" s="44"/>
      <c r="H48" s="44"/>
      <c r="I48" s="44"/>
      <c r="K48" s="44"/>
      <c r="L48" s="44"/>
      <c r="N48" s="65"/>
      <c r="O48" s="65"/>
      <c r="P48" s="65"/>
      <c r="Q48" s="65"/>
      <c r="R48" s="65"/>
      <c r="S48" s="67"/>
      <c r="T48" s="66"/>
    </row>
    <row r="49" spans="3:12">
      <c r="C49" s="51"/>
      <c r="D49" s="72"/>
      <c r="E49" s="72"/>
      <c r="F49" s="44"/>
      <c r="G49" s="44"/>
      <c r="H49" s="44"/>
      <c r="I49" s="44"/>
      <c r="K49" s="44"/>
      <c r="L49" s="44"/>
    </row>
    <row r="50" spans="3:12">
      <c r="C50" s="48"/>
      <c r="D50" s="47"/>
      <c r="E50" s="47"/>
      <c r="F50" s="44"/>
      <c r="G50" s="44"/>
      <c r="H50" s="44"/>
      <c r="I50" s="44"/>
      <c r="K50" s="44"/>
      <c r="L50" s="44"/>
    </row>
    <row r="51" spans="3:12">
      <c r="C51" s="51"/>
      <c r="D51" s="45"/>
      <c r="E51" s="45"/>
      <c r="F51" s="44"/>
      <c r="G51" s="44"/>
      <c r="H51" s="44"/>
      <c r="I51" s="44"/>
      <c r="K51" s="44"/>
      <c r="L51" s="44"/>
    </row>
    <row r="52" spans="3:12">
      <c r="C52" s="48"/>
      <c r="D52" s="45"/>
      <c r="E52" s="45"/>
      <c r="F52" s="44"/>
      <c r="G52" s="44"/>
      <c r="H52" s="44"/>
      <c r="I52" s="44"/>
      <c r="K52" s="44"/>
      <c r="L52" s="44"/>
    </row>
    <row r="53" spans="3:12">
      <c r="C53" s="51"/>
      <c r="D53" s="45"/>
      <c r="E53" s="45"/>
      <c r="F53" s="44"/>
      <c r="G53" s="44"/>
      <c r="H53" s="44"/>
      <c r="I53" s="44"/>
      <c r="K53" s="44"/>
      <c r="L53" s="44"/>
    </row>
    <row r="54" spans="3:12">
      <c r="C54" s="48"/>
      <c r="D54" s="45"/>
      <c r="E54" s="45"/>
      <c r="F54" s="44"/>
      <c r="G54" s="44"/>
      <c r="H54" s="44"/>
      <c r="I54" s="44"/>
      <c r="K54" s="44"/>
      <c r="L54" s="44"/>
    </row>
    <row r="55" spans="3:12">
      <c r="C55" s="51"/>
      <c r="D55" s="47"/>
      <c r="E55" s="47"/>
      <c r="F55" s="44"/>
      <c r="G55" s="44"/>
      <c r="H55" s="44"/>
      <c r="I55" s="44"/>
      <c r="K55" s="44"/>
      <c r="L55" s="44"/>
    </row>
    <row r="56" spans="3:12">
      <c r="C56" s="48"/>
      <c r="D56" s="45"/>
      <c r="E56" s="45"/>
      <c r="F56" s="44"/>
      <c r="G56" s="44"/>
      <c r="H56" s="44"/>
      <c r="I56" s="49"/>
      <c r="J56" s="44"/>
      <c r="K56" s="44"/>
      <c r="L56" s="44"/>
    </row>
    <row r="57" spans="3:12">
      <c r="H57" s="49"/>
      <c r="L57" s="4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workbookViewId="0">
      <selection activeCell="E10" sqref="E10"/>
    </sheetView>
  </sheetViews>
  <sheetFormatPr baseColWidth="10" defaultRowHeight="15"/>
  <cols>
    <col min="4" max="4" width="50.85546875" bestFit="1" customWidth="1"/>
  </cols>
  <sheetData>
    <row r="4" spans="3:8">
      <c r="C4" s="53" t="s">
        <v>162</v>
      </c>
      <c r="D4" s="53" t="s">
        <v>163</v>
      </c>
      <c r="E4" s="53">
        <f>'1m_15%'!F28*1.15</f>
        <v>1469.125</v>
      </c>
      <c r="G4" t="s">
        <v>171</v>
      </c>
      <c r="H4">
        <v>600</v>
      </c>
    </row>
    <row r="5" spans="3:8">
      <c r="C5" t="s">
        <v>164</v>
      </c>
      <c r="D5" s="81" t="s">
        <v>177</v>
      </c>
      <c r="E5">
        <v>0.8</v>
      </c>
      <c r="G5" t="s">
        <v>170</v>
      </c>
      <c r="H5" s="80">
        <f>H4/E4</f>
        <v>0.40840636433251087</v>
      </c>
    </row>
    <row r="6" spans="3:8">
      <c r="C6" t="s">
        <v>166</v>
      </c>
      <c r="D6" t="s">
        <v>165</v>
      </c>
      <c r="E6">
        <v>0.8</v>
      </c>
    </row>
    <row r="7" spans="3:8">
      <c r="C7" t="s">
        <v>167</v>
      </c>
      <c r="D7" s="81" t="s">
        <v>176</v>
      </c>
      <c r="E7">
        <v>0.88</v>
      </c>
    </row>
    <row r="8" spans="3:8">
      <c r="C8" t="s">
        <v>168</v>
      </c>
      <c r="D8" s="81" t="s">
        <v>175</v>
      </c>
      <c r="E8">
        <v>1.05</v>
      </c>
    </row>
    <row r="9" spans="3:8">
      <c r="C9" t="s">
        <v>172</v>
      </c>
      <c r="D9" s="81" t="s">
        <v>174</v>
      </c>
      <c r="E9">
        <v>1.02</v>
      </c>
    </row>
    <row r="10" spans="3:8">
      <c r="C10" s="53" t="s">
        <v>169</v>
      </c>
      <c r="D10" s="53" t="s">
        <v>173</v>
      </c>
      <c r="E10" s="53">
        <f>(E4*E8*E9)/(E7*E6*E5)</f>
        <v>2793.7373490767045</v>
      </c>
    </row>
    <row r="11" spans="3:8">
      <c r="C11" s="82" t="s">
        <v>178</v>
      </c>
      <c r="E11" s="80">
        <f>(E8*E9)/(E5*E6*E7)</f>
        <v>1.9016335227272725</v>
      </c>
    </row>
    <row r="13" spans="3:8">
      <c r="C13" t="s">
        <v>179</v>
      </c>
      <c r="E13">
        <f>1470/E7</f>
        <v>1670.4545454545455</v>
      </c>
    </row>
    <row r="14" spans="3:8">
      <c r="C14" t="s">
        <v>180</v>
      </c>
      <c r="E14">
        <f>E13/E6</f>
        <v>2088.0681818181815</v>
      </c>
    </row>
    <row r="15" spans="3:8">
      <c r="C15" t="s">
        <v>181</v>
      </c>
      <c r="E15">
        <f>E14/E5</f>
        <v>2610.0852272727266</v>
      </c>
    </row>
    <row r="16" spans="3:8">
      <c r="C16" t="s">
        <v>182</v>
      </c>
      <c r="E16">
        <f>E15*E9*E8</f>
        <v>2795.4012784090901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topLeftCell="A27" workbookViewId="0">
      <selection activeCell="D7" sqref="D7"/>
    </sheetView>
  </sheetViews>
  <sheetFormatPr baseColWidth="10" defaultColWidth="12.5703125" defaultRowHeight="15" customHeight="1"/>
  <cols>
    <col min="1" max="1" width="11.42578125" customWidth="1"/>
    <col min="2" max="2" width="58.5703125" customWidth="1"/>
    <col min="3" max="3" width="36.7109375" customWidth="1"/>
    <col min="4" max="4" width="41.140625" customWidth="1"/>
    <col min="5" max="5" width="7" customWidth="1"/>
    <col min="6" max="6" width="58.5703125" customWidth="1"/>
    <col min="7" max="7" width="36.7109375" customWidth="1"/>
    <col min="8" max="11" width="11.42578125" customWidth="1"/>
    <col min="12" max="12" width="16.140625" customWidth="1"/>
    <col min="13" max="26" width="11.42578125" customWidth="1"/>
  </cols>
  <sheetData>
    <row r="1" spans="2:13">
      <c r="B1" s="93" t="s">
        <v>11</v>
      </c>
      <c r="C1" s="94"/>
      <c r="D1" s="94"/>
      <c r="E1" s="94"/>
      <c r="F1" s="94"/>
      <c r="G1" s="95"/>
    </row>
    <row r="2" spans="2:13">
      <c r="B2" s="1" t="s">
        <v>0</v>
      </c>
      <c r="C2" s="2" t="s">
        <v>12</v>
      </c>
      <c r="G2" s="2"/>
    </row>
    <row r="3" spans="2:13">
      <c r="B3" s="96" t="s">
        <v>13</v>
      </c>
      <c r="C3" s="92"/>
      <c r="F3" s="96" t="s">
        <v>14</v>
      </c>
      <c r="G3" s="92"/>
    </row>
    <row r="4" spans="2:13">
      <c r="B4" s="91" t="s">
        <v>1</v>
      </c>
      <c r="C4" s="92"/>
      <c r="F4" s="91" t="s">
        <v>1</v>
      </c>
      <c r="G4" s="92"/>
    </row>
    <row r="5" spans="2:13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>
      <c r="B9" s="91" t="s">
        <v>4</v>
      </c>
      <c r="C9" s="92"/>
      <c r="F9" s="91" t="s">
        <v>4</v>
      </c>
      <c r="G9" s="92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>
      <c r="B15" s="91" t="s">
        <v>7</v>
      </c>
      <c r="C15" s="92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>
      <c r="B19" s="1" t="s">
        <v>21</v>
      </c>
      <c r="C19" s="1">
        <v>10</v>
      </c>
    </row>
    <row r="20" spans="2:13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91" t="s">
        <v>26</v>
      </c>
      <c r="C24" s="92"/>
      <c r="F24" s="91" t="s">
        <v>26</v>
      </c>
      <c r="G24" s="92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93" t="s">
        <v>33</v>
      </c>
      <c r="C35" s="94"/>
      <c r="D35" s="94"/>
      <c r="E35" s="94"/>
      <c r="F35" s="94"/>
      <c r="G35" s="95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93" t="s">
        <v>48</v>
      </c>
      <c r="C51" s="95"/>
      <c r="F51" s="93" t="s">
        <v>49</v>
      </c>
      <c r="G51" s="95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9:C9"/>
    <mergeCell ref="F9:G9"/>
    <mergeCell ref="B1:G1"/>
    <mergeCell ref="B3:C3"/>
    <mergeCell ref="F3:G3"/>
    <mergeCell ref="B4:C4"/>
    <mergeCell ref="F4:G4"/>
    <mergeCell ref="B15:C15"/>
    <mergeCell ref="B24:C24"/>
    <mergeCell ref="F24:G24"/>
    <mergeCell ref="B35:G35"/>
    <mergeCell ref="B51:C51"/>
    <mergeCell ref="F51:G51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workbookViewId="0">
      <selection activeCell="L28" sqref="L28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5" width="11.42578125" customWidth="1"/>
    <col min="6" max="6" width="59.140625" customWidth="1"/>
    <col min="7" max="7" width="31.42578125" customWidth="1"/>
    <col min="8" max="8" width="11.42578125" customWidth="1"/>
    <col min="9" max="9" width="59.140625" customWidth="1"/>
    <col min="10" max="10" width="31.42578125" customWidth="1"/>
    <col min="11" max="11" width="11.42578125" customWidth="1"/>
    <col min="12" max="12" width="23.85546875" customWidth="1"/>
    <col min="13" max="14" width="11.42578125" customWidth="1"/>
    <col min="15" max="15" width="17.85546875" customWidth="1"/>
    <col min="16" max="16" width="20.140625" customWidth="1"/>
    <col min="17" max="26" width="11.42578125" customWidth="1"/>
  </cols>
  <sheetData>
    <row r="3" spans="3:16" ht="15.75">
      <c r="C3" s="1" t="s">
        <v>66</v>
      </c>
      <c r="D3" t="s">
        <v>114</v>
      </c>
      <c r="F3" s="1" t="s">
        <v>66</v>
      </c>
      <c r="G3" t="s">
        <v>115</v>
      </c>
      <c r="I3" s="1" t="s">
        <v>66</v>
      </c>
      <c r="J3" t="s">
        <v>116</v>
      </c>
      <c r="L3" s="97" t="s">
        <v>117</v>
      </c>
      <c r="M3" s="92"/>
      <c r="N3" s="92"/>
      <c r="O3" s="92"/>
      <c r="P3" s="92"/>
    </row>
    <row r="4" spans="3:16">
      <c r="C4" s="1" t="s">
        <v>74</v>
      </c>
      <c r="D4" s="1" t="s">
        <v>118</v>
      </c>
      <c r="F4" s="1" t="s">
        <v>74</v>
      </c>
      <c r="G4" s="1" t="s">
        <v>118</v>
      </c>
      <c r="I4" s="1" t="s">
        <v>74</v>
      </c>
      <c r="J4" s="1" t="s">
        <v>119</v>
      </c>
      <c r="L4" s="16"/>
      <c r="M4" s="17" t="s">
        <v>120</v>
      </c>
      <c r="N4" s="17" t="s">
        <v>121</v>
      </c>
      <c r="O4" s="17" t="s">
        <v>119</v>
      </c>
      <c r="P4" s="18" t="s">
        <v>122</v>
      </c>
    </row>
    <row r="5" spans="3:16">
      <c r="C5" s="1" t="s">
        <v>77</v>
      </c>
      <c r="D5" s="1" t="s">
        <v>123</v>
      </c>
      <c r="F5" s="1" t="s">
        <v>77</v>
      </c>
      <c r="G5" s="1" t="s">
        <v>123</v>
      </c>
      <c r="I5" s="1" t="s">
        <v>77</v>
      </c>
      <c r="J5" s="1" t="s">
        <v>123</v>
      </c>
      <c r="L5" s="16" t="s">
        <v>76</v>
      </c>
      <c r="M5" s="16">
        <f t="shared" ref="M5:N5" si="0">1000</f>
        <v>1000</v>
      </c>
      <c r="N5" s="16">
        <f t="shared" si="0"/>
        <v>1000</v>
      </c>
      <c r="O5" s="16">
        <f>2000</f>
        <v>2000</v>
      </c>
      <c r="P5" s="19">
        <f t="shared" ref="P5:P9" si="1">(M5+N5+O5)/3</f>
        <v>1333.3333333333333</v>
      </c>
    </row>
    <row r="6" spans="3:16">
      <c r="L6" s="3" t="s">
        <v>124</v>
      </c>
      <c r="M6" s="16">
        <f>D29</f>
        <v>23373</v>
      </c>
      <c r="N6" s="16">
        <f>G29</f>
        <v>7812</v>
      </c>
      <c r="O6" s="16">
        <f>J29</f>
        <v>6600</v>
      </c>
      <c r="P6" s="19">
        <f t="shared" si="1"/>
        <v>12595</v>
      </c>
    </row>
    <row r="7" spans="3:16">
      <c r="C7" s="1" t="s">
        <v>82</v>
      </c>
      <c r="D7" s="1">
        <f>D10/D8</f>
        <v>150</v>
      </c>
      <c r="F7" s="1" t="s">
        <v>82</v>
      </c>
      <c r="G7" s="9">
        <f>G10/G8</f>
        <v>171.42857142857142</v>
      </c>
      <c r="I7" s="1" t="s">
        <v>82</v>
      </c>
      <c r="J7" s="9">
        <f>J23/J8</f>
        <v>898.82278078269167</v>
      </c>
      <c r="L7" s="16" t="s">
        <v>79</v>
      </c>
      <c r="M7" s="22">
        <f>D7</f>
        <v>150</v>
      </c>
      <c r="N7" s="22">
        <f>G7</f>
        <v>171.42857142857142</v>
      </c>
      <c r="O7" s="22">
        <f>J7</f>
        <v>898.82278078269167</v>
      </c>
      <c r="P7" s="19">
        <f t="shared" si="1"/>
        <v>406.7504507370877</v>
      </c>
    </row>
    <row r="8" spans="3:16">
      <c r="C8" s="1" t="s">
        <v>125</v>
      </c>
      <c r="D8" s="1">
        <v>0.8</v>
      </c>
      <c r="F8" s="1" t="s">
        <v>125</v>
      </c>
      <c r="G8" s="1">
        <v>2.1</v>
      </c>
      <c r="I8" s="1" t="s">
        <v>125</v>
      </c>
      <c r="J8" s="9">
        <f>J31</f>
        <v>0.4762121212121212</v>
      </c>
      <c r="L8" s="16" t="s">
        <v>84</v>
      </c>
      <c r="M8" s="24">
        <f>D9</f>
        <v>244.89795918367346</v>
      </c>
      <c r="N8" s="24">
        <f>G9</f>
        <v>319.43212067435672</v>
      </c>
      <c r="O8" s="24">
        <f>J9</f>
        <v>100.50319105209351</v>
      </c>
      <c r="P8" s="19">
        <f t="shared" si="1"/>
        <v>221.61109030337457</v>
      </c>
    </row>
    <row r="9" spans="3:16">
      <c r="C9" s="1" t="s">
        <v>126</v>
      </c>
      <c r="D9" s="9">
        <f>D10/D15</f>
        <v>244.89795918367346</v>
      </c>
      <c r="F9" s="1" t="s">
        <v>126</v>
      </c>
      <c r="G9" s="9">
        <f>G10/G15</f>
        <v>319.43212067435672</v>
      </c>
      <c r="I9" s="1" t="s">
        <v>126</v>
      </c>
      <c r="J9" s="30">
        <f>J23/J15</f>
        <v>100.50319105209351</v>
      </c>
      <c r="L9" s="16" t="s">
        <v>83</v>
      </c>
      <c r="M9" s="16">
        <f>D50/1000</f>
        <v>1391.25</v>
      </c>
      <c r="N9" s="16">
        <f>G50/1000</f>
        <v>2790</v>
      </c>
      <c r="O9" s="16">
        <f>J50/1000</f>
        <v>2400</v>
      </c>
      <c r="P9" s="19">
        <f t="shared" si="1"/>
        <v>2193.75</v>
      </c>
    </row>
    <row r="10" spans="3:16">
      <c r="C10" s="1" t="s">
        <v>91</v>
      </c>
      <c r="D10" s="1">
        <v>120</v>
      </c>
      <c r="F10" s="1" t="s">
        <v>91</v>
      </c>
      <c r="G10" s="1">
        <v>360</v>
      </c>
      <c r="L10" s="16"/>
      <c r="M10" s="3"/>
      <c r="N10" s="3"/>
      <c r="O10" s="3"/>
      <c r="P10" s="19"/>
    </row>
    <row r="12" spans="3:16">
      <c r="C12" s="1" t="s">
        <v>93</v>
      </c>
      <c r="D12" s="1">
        <v>100</v>
      </c>
      <c r="F12" s="1" t="s">
        <v>93</v>
      </c>
      <c r="G12" s="1">
        <v>230</v>
      </c>
    </row>
    <row r="13" spans="3:16">
      <c r="C13" s="1" t="s">
        <v>95</v>
      </c>
      <c r="D13" s="1">
        <v>70</v>
      </c>
      <c r="F13" s="1" t="s">
        <v>95</v>
      </c>
      <c r="G13" s="1">
        <v>70</v>
      </c>
    </row>
    <row r="14" spans="3:16">
      <c r="C14" s="1" t="s">
        <v>97</v>
      </c>
      <c r="D14" s="1">
        <v>70</v>
      </c>
      <c r="F14" s="1" t="s">
        <v>97</v>
      </c>
      <c r="G14" s="1">
        <v>70</v>
      </c>
    </row>
    <row r="15" spans="3:16">
      <c r="C15" s="1" t="s">
        <v>100</v>
      </c>
      <c r="D15" s="1">
        <f>1000*D12*D13*D14/1000000000</f>
        <v>0.49</v>
      </c>
      <c r="F15" s="1" t="s">
        <v>100</v>
      </c>
      <c r="G15" s="1">
        <f>1000*G12*G13*G14/1000000000</f>
        <v>1.127</v>
      </c>
      <c r="I15" s="1" t="s">
        <v>100</v>
      </c>
      <c r="J15" s="31">
        <f>J33*1000</f>
        <v>4.2588727636363641</v>
      </c>
    </row>
    <row r="19" spans="3:10">
      <c r="C19" s="1" t="s">
        <v>66</v>
      </c>
      <c r="F19" s="1" t="s">
        <v>66</v>
      </c>
      <c r="I19" s="1" t="s">
        <v>66</v>
      </c>
    </row>
    <row r="20" spans="3:10">
      <c r="C20" s="83" t="s">
        <v>34</v>
      </c>
      <c r="D20" s="83">
        <v>750</v>
      </c>
      <c r="F20" s="83" t="s">
        <v>34</v>
      </c>
      <c r="G20" s="83">
        <v>750</v>
      </c>
      <c r="I20" s="83" t="s">
        <v>34</v>
      </c>
      <c r="J20" s="83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183</v>
      </c>
      <c r="D22" s="1">
        <f>ROUNDUP(D20/D21,0)</f>
        <v>63</v>
      </c>
      <c r="F22" s="12" t="s">
        <v>183</v>
      </c>
      <c r="G22" s="1">
        <f>ROUNDUP(G20/G21,0)</f>
        <v>63</v>
      </c>
      <c r="I22" s="12" t="s">
        <v>183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3" t="s">
        <v>39</v>
      </c>
      <c r="D25" s="83">
        <v>2800000</v>
      </c>
      <c r="F25" s="83" t="s">
        <v>39</v>
      </c>
      <c r="G25" s="83">
        <v>2800000</v>
      </c>
      <c r="I25" s="83" t="s">
        <v>39</v>
      </c>
      <c r="J25" s="83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184</v>
      </c>
      <c r="D29" s="1">
        <f>D22*D26</f>
        <v>23373</v>
      </c>
      <c r="F29" s="14" t="s">
        <v>184</v>
      </c>
      <c r="G29" s="1">
        <f>G22*G26</f>
        <v>7812</v>
      </c>
      <c r="I29" s="14" t="s">
        <v>184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185</v>
      </c>
      <c r="D33" s="1">
        <f>D15/1000</f>
        <v>4.8999999999999998E-4</v>
      </c>
      <c r="F33" t="s">
        <v>185</v>
      </c>
      <c r="G33" s="1">
        <f>G15/1000</f>
        <v>1.127E-3</v>
      </c>
      <c r="I33" t="s">
        <v>185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" t="s">
        <v>54</v>
      </c>
      <c r="D37" s="1">
        <v>1</v>
      </c>
      <c r="F37" s="1" t="s">
        <v>54</v>
      </c>
      <c r="G37" s="1">
        <v>1</v>
      </c>
      <c r="I37" s="1" t="s">
        <v>54</v>
      </c>
      <c r="J37" s="1">
        <v>1</v>
      </c>
    </row>
    <row r="38" spans="3:11" ht="15.75" customHeight="1">
      <c r="C38" s="1" t="s">
        <v>55</v>
      </c>
      <c r="D38" s="1">
        <v>3</v>
      </c>
      <c r="F38" s="1" t="s">
        <v>55</v>
      </c>
      <c r="G38" s="1">
        <v>3</v>
      </c>
      <c r="I38" s="1" t="s">
        <v>55</v>
      </c>
      <c r="J38" s="1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127</v>
      </c>
      <c r="D41" s="1">
        <v>20</v>
      </c>
      <c r="F41" s="32" t="s">
        <v>127</v>
      </c>
      <c r="G41" s="1">
        <v>60</v>
      </c>
      <c r="I41" s="32" t="s">
        <v>127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</f>
        <v>1391250</v>
      </c>
      <c r="F50" s="12" t="s">
        <v>64</v>
      </c>
      <c r="G50" s="1">
        <f>G49*G20</f>
        <v>2790000</v>
      </c>
      <c r="I50" s="12" t="s">
        <v>64</v>
      </c>
      <c r="J50" s="1">
        <f>J49*J20</f>
        <v>2400000</v>
      </c>
    </row>
    <row r="51" spans="3:10" ht="15.75" customHeight="1">
      <c r="D51">
        <f>D50/1000</f>
        <v>1391.25</v>
      </c>
      <c r="G51">
        <f>G50/1000</f>
        <v>2790</v>
      </c>
      <c r="J51">
        <f>J50/1000</f>
        <v>2400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3:P3"/>
  </mergeCells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G18" workbookViewId="0">
      <selection activeCell="K31" sqref="K31:L34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3.42578125" customWidth="1"/>
    <col min="9" max="10" width="11.42578125" customWidth="1"/>
    <col min="11" max="11" width="59" customWidth="1"/>
    <col min="12" max="12" width="13.42578125" customWidth="1"/>
    <col min="13" max="14" width="11.42578125" customWidth="1"/>
    <col min="15" max="15" width="26.5703125" customWidth="1"/>
    <col min="16" max="17" width="11.85546875" customWidth="1"/>
    <col min="18" max="18" width="16.7109375" customWidth="1"/>
    <col min="19" max="19" width="11.42578125" customWidth="1"/>
    <col min="20" max="20" width="22.5703125" customWidth="1"/>
    <col min="21" max="23" width="11.42578125" customWidth="1"/>
    <col min="24" max="24" width="14.140625" customWidth="1"/>
    <col min="25" max="33" width="11.42578125" customWidth="1"/>
  </cols>
  <sheetData>
    <row r="2" spans="3:24" ht="15.75">
      <c r="T2" s="97" t="s">
        <v>65</v>
      </c>
      <c r="U2" s="92"/>
      <c r="V2" s="92"/>
      <c r="W2" s="92"/>
      <c r="X2" s="92"/>
    </row>
    <row r="3" spans="3:24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106" t="s">
        <v>69</v>
      </c>
      <c r="O3" s="16"/>
      <c r="P3" s="17"/>
      <c r="Q3" s="17"/>
      <c r="R3" s="17"/>
      <c r="T3" s="16"/>
      <c r="U3" s="17" t="s">
        <v>70</v>
      </c>
      <c r="V3" s="17" t="s">
        <v>71</v>
      </c>
      <c r="W3" s="17" t="s">
        <v>72</v>
      </c>
      <c r="X3" s="18" t="s">
        <v>73</v>
      </c>
    </row>
    <row r="4" spans="3:24">
      <c r="C4" s="5" t="s">
        <v>74</v>
      </c>
      <c r="D4" s="5" t="s">
        <v>70</v>
      </c>
      <c r="G4" s="5" t="s">
        <v>74</v>
      </c>
      <c r="H4" s="5" t="s">
        <v>71</v>
      </c>
      <c r="K4" s="5" t="s">
        <v>74</v>
      </c>
      <c r="L4" s="5" t="s">
        <v>72</v>
      </c>
      <c r="O4" s="16"/>
      <c r="P4" s="3"/>
      <c r="Q4" s="3"/>
      <c r="R4" s="3"/>
      <c r="T4" s="16" t="s">
        <v>76</v>
      </c>
      <c r="U4" s="16">
        <v>1500</v>
      </c>
      <c r="V4" s="16">
        <v>2000</v>
      </c>
      <c r="W4" s="16">
        <v>4000</v>
      </c>
      <c r="X4" s="19">
        <f t="shared" ref="X4:X8" si="0">(U4+V4+W4)/3</f>
        <v>2500</v>
      </c>
    </row>
    <row r="5" spans="3:24">
      <c r="C5" s="3" t="s">
        <v>77</v>
      </c>
      <c r="D5" s="3" t="s">
        <v>78</v>
      </c>
      <c r="G5" s="3" t="s">
        <v>77</v>
      </c>
      <c r="H5" s="3" t="s">
        <v>78</v>
      </c>
      <c r="K5" s="3" t="s">
        <v>77</v>
      </c>
      <c r="L5" s="3" t="s">
        <v>78</v>
      </c>
      <c r="O5" s="16"/>
      <c r="P5" s="20"/>
      <c r="Q5" s="20"/>
      <c r="R5" s="20"/>
      <c r="T5" s="3" t="s">
        <v>80</v>
      </c>
      <c r="U5" s="16">
        <f>D29</f>
        <v>28910</v>
      </c>
      <c r="V5" s="16">
        <f>H29</f>
        <v>4425</v>
      </c>
      <c r="W5" s="16">
        <f>L29</f>
        <v>1460</v>
      </c>
      <c r="X5" s="19">
        <f t="shared" si="0"/>
        <v>11598.333333333334</v>
      </c>
    </row>
    <row r="6" spans="3:24">
      <c r="O6" s="16"/>
      <c r="P6" s="21"/>
      <c r="Q6" s="21"/>
      <c r="R6" s="21"/>
      <c r="T6" s="16" t="s">
        <v>79</v>
      </c>
      <c r="U6" s="22">
        <f>D7</f>
        <v>97</v>
      </c>
      <c r="V6" s="22">
        <f>H7</f>
        <v>101.5873015873016</v>
      </c>
      <c r="W6" s="22">
        <f>L7</f>
        <v>102</v>
      </c>
      <c r="X6" s="19">
        <f t="shared" si="0"/>
        <v>100.19576719576719</v>
      </c>
    </row>
    <row r="7" spans="3:24">
      <c r="C7" s="1" t="s">
        <v>82</v>
      </c>
      <c r="D7" s="1">
        <v>97</v>
      </c>
      <c r="G7" s="1" t="s">
        <v>82</v>
      </c>
      <c r="H7" s="23">
        <f>H11/H8</f>
        <v>101.5873015873016</v>
      </c>
      <c r="K7" s="1" t="s">
        <v>82</v>
      </c>
      <c r="L7" s="23">
        <v>102</v>
      </c>
      <c r="O7" s="16"/>
      <c r="P7" s="3"/>
      <c r="Q7" s="3"/>
      <c r="R7" s="3"/>
      <c r="T7" s="16" t="s">
        <v>84</v>
      </c>
      <c r="U7" s="24">
        <v>107</v>
      </c>
      <c r="V7" s="24">
        <f>640/H15</f>
        <v>114.4483535710211</v>
      </c>
      <c r="W7" s="24">
        <f>L11/L15</f>
        <v>162.13203627704311</v>
      </c>
      <c r="X7" s="19">
        <f t="shared" si="0"/>
        <v>127.86012994935474</v>
      </c>
    </row>
    <row r="8" spans="3:24">
      <c r="C8" s="1" t="s">
        <v>85</v>
      </c>
      <c r="D8" s="1">
        <v>0.9</v>
      </c>
      <c r="G8" s="1" t="s">
        <v>86</v>
      </c>
      <c r="H8" s="1">
        <v>6.3</v>
      </c>
      <c r="K8" s="11" t="s">
        <v>86</v>
      </c>
      <c r="L8" s="11">
        <v>18.7</v>
      </c>
      <c r="O8" s="16"/>
      <c r="P8" s="3"/>
      <c r="Q8" s="3"/>
      <c r="R8" s="3"/>
      <c r="T8" s="16" t="s">
        <v>83</v>
      </c>
      <c r="U8" s="16">
        <f>D50</f>
        <v>5512.5</v>
      </c>
      <c r="V8" s="16">
        <f>H50</f>
        <v>2812.5</v>
      </c>
      <c r="W8" s="16">
        <f>L50</f>
        <v>2737.5</v>
      </c>
      <c r="X8" s="19">
        <f t="shared" si="0"/>
        <v>3687.5</v>
      </c>
    </row>
    <row r="9" spans="3:24">
      <c r="C9" s="1" t="s">
        <v>88</v>
      </c>
      <c r="D9" s="1">
        <v>1.1000000000000001</v>
      </c>
    </row>
    <row r="10" spans="3:24">
      <c r="C10" s="1" t="s">
        <v>89</v>
      </c>
      <c r="D10" s="1">
        <f>D7*D8</f>
        <v>87.3</v>
      </c>
    </row>
    <row r="11" spans="3:24">
      <c r="C11" s="1" t="s">
        <v>90</v>
      </c>
      <c r="D11" s="1">
        <f>D7*D9</f>
        <v>106.7</v>
      </c>
      <c r="G11" s="1" t="s">
        <v>91</v>
      </c>
      <c r="H11" s="1">
        <v>640</v>
      </c>
      <c r="K11" s="1" t="s">
        <v>91</v>
      </c>
      <c r="L11" s="1">
        <v>1920</v>
      </c>
      <c r="O11" s="98" t="s">
        <v>92</v>
      </c>
      <c r="P11" s="92"/>
    </row>
    <row r="12" spans="3:24">
      <c r="C12" s="1" t="s">
        <v>93</v>
      </c>
      <c r="D12" s="1">
        <v>152</v>
      </c>
      <c r="G12" s="1" t="s">
        <v>93</v>
      </c>
      <c r="H12" s="1">
        <v>197</v>
      </c>
      <c r="K12" s="1" t="s">
        <v>93</v>
      </c>
      <c r="L12" s="1">
        <v>306</v>
      </c>
      <c r="O12" s="16" t="s">
        <v>94</v>
      </c>
      <c r="P12" s="1">
        <v>5957</v>
      </c>
    </row>
    <row r="13" spans="3:24">
      <c r="C13" s="1" t="s">
        <v>95</v>
      </c>
      <c r="D13" s="1">
        <v>65</v>
      </c>
      <c r="G13" s="1" t="s">
        <v>95</v>
      </c>
      <c r="H13" s="1">
        <v>166</v>
      </c>
      <c r="K13" s="1" t="s">
        <v>95</v>
      </c>
      <c r="L13" s="1">
        <v>172</v>
      </c>
      <c r="O13" s="16" t="s">
        <v>96</v>
      </c>
      <c r="P13" s="1">
        <v>2286</v>
      </c>
    </row>
    <row r="14" spans="3:24">
      <c r="C14" s="1" t="s">
        <v>97</v>
      </c>
      <c r="D14" s="1">
        <v>92</v>
      </c>
      <c r="G14" s="1" t="s">
        <v>97</v>
      </c>
      <c r="H14" s="1">
        <v>171</v>
      </c>
      <c r="K14" s="1" t="s">
        <v>97</v>
      </c>
      <c r="L14" s="1">
        <v>225</v>
      </c>
      <c r="O14" s="16" t="s">
        <v>98</v>
      </c>
      <c r="P14" s="1">
        <v>2494</v>
      </c>
    </row>
    <row r="15" spans="3:24">
      <c r="C15" s="1" t="s">
        <v>99</v>
      </c>
      <c r="D15" s="1">
        <f>D12*D13*D14/1000000000</f>
        <v>9.0896E-4</v>
      </c>
      <c r="G15" s="1" t="s">
        <v>100</v>
      </c>
      <c r="H15" s="1">
        <f>1000*H12*H13*H14/(1000000000)</f>
        <v>5.5920420000000002</v>
      </c>
      <c r="K15" s="11" t="s">
        <v>100</v>
      </c>
      <c r="L15" s="11">
        <f>1000*L12*L13*L14/(1000000000)</f>
        <v>11.8422</v>
      </c>
      <c r="O15" s="16" t="s">
        <v>101</v>
      </c>
      <c r="P15" s="1">
        <f>P12*P13*P14</f>
        <v>33962548788</v>
      </c>
    </row>
    <row r="16" spans="3:24">
      <c r="O16" s="16" t="s">
        <v>102</v>
      </c>
      <c r="P16" s="25">
        <v>33.963000000000001</v>
      </c>
    </row>
    <row r="17" spans="3:16">
      <c r="O17" s="17" t="s">
        <v>103</v>
      </c>
      <c r="P17" s="11">
        <v>33963</v>
      </c>
    </row>
    <row r="18" spans="3:16">
      <c r="O18" s="17" t="s">
        <v>104</v>
      </c>
      <c r="P18" s="11">
        <v>13750</v>
      </c>
    </row>
    <row r="19" spans="3:16">
      <c r="C19" s="1" t="s">
        <v>66</v>
      </c>
      <c r="G19" s="1" t="s">
        <v>66</v>
      </c>
      <c r="K19" s="1" t="s">
        <v>66</v>
      </c>
    </row>
    <row r="20" spans="3:16">
      <c r="C20" s="83" t="s">
        <v>34</v>
      </c>
      <c r="D20" s="84">
        <v>750</v>
      </c>
      <c r="G20" s="83" t="s">
        <v>34</v>
      </c>
      <c r="H20" s="84">
        <v>750</v>
      </c>
      <c r="K20" s="83" t="s">
        <v>34</v>
      </c>
      <c r="L20" s="84">
        <v>750</v>
      </c>
      <c r="O20" s="96" t="s">
        <v>105</v>
      </c>
      <c r="P20" s="92"/>
    </row>
    <row r="21" spans="3:16" ht="15.75" customHeight="1">
      <c r="C21" s="1" t="s">
        <v>35</v>
      </c>
      <c r="D21" s="86">
        <v>12.8</v>
      </c>
      <c r="G21" s="1" t="s">
        <v>35</v>
      </c>
      <c r="H21" s="86">
        <v>12.8</v>
      </c>
      <c r="K21" s="1" t="s">
        <v>35</v>
      </c>
      <c r="L21" s="86">
        <v>38.4</v>
      </c>
      <c r="O21" s="17" t="s">
        <v>106</v>
      </c>
      <c r="P21" s="11">
        <v>140</v>
      </c>
    </row>
    <row r="22" spans="3:16" ht="15.75" customHeight="1">
      <c r="C22" s="12" t="s">
        <v>183</v>
      </c>
      <c r="D22" s="1">
        <f>ROUNDUP(D20/D21,0)</f>
        <v>59</v>
      </c>
      <c r="G22" s="12" t="s">
        <v>183</v>
      </c>
      <c r="H22" s="1">
        <f>ROUNDUP(H20/H21,0)</f>
        <v>59</v>
      </c>
      <c r="K22" s="12" t="s">
        <v>183</v>
      </c>
      <c r="L22" s="1">
        <f>ROUNDUP(L20/L21,0)</f>
        <v>20</v>
      </c>
      <c r="O22" s="17" t="s">
        <v>107</v>
      </c>
      <c r="P22" s="1">
        <f>P21*L15</f>
        <v>1657.9079999999999</v>
      </c>
    </row>
    <row r="23" spans="3:16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108</v>
      </c>
      <c r="P23" s="1">
        <f>P21*L8</f>
        <v>2618</v>
      </c>
    </row>
    <row r="24" spans="3:16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99" t="s">
        <v>109</v>
      </c>
      <c r="P24" s="92"/>
    </row>
    <row r="25" spans="3:16" ht="15.75" customHeight="1">
      <c r="C25" s="83" t="s">
        <v>39</v>
      </c>
      <c r="D25" s="85">
        <f>L25</f>
        <v>2800000</v>
      </c>
      <c r="G25" s="83" t="s">
        <v>39</v>
      </c>
      <c r="H25" s="85">
        <f>L25</f>
        <v>2800000</v>
      </c>
      <c r="K25" s="83" t="s">
        <v>39</v>
      </c>
      <c r="L25" s="85">
        <v>2800000</v>
      </c>
      <c r="O25" s="27" t="s">
        <v>110</v>
      </c>
      <c r="P25" s="28">
        <v>2600</v>
      </c>
    </row>
    <row r="26" spans="3:16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107</v>
      </c>
      <c r="P26" s="29" t="s">
        <v>111</v>
      </c>
    </row>
    <row r="27" spans="3:16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6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0" t="s">
        <v>155</v>
      </c>
      <c r="P28" s="100"/>
    </row>
    <row r="29" spans="3:16" ht="15.75" customHeight="1">
      <c r="C29" s="14" t="s">
        <v>184</v>
      </c>
      <c r="D29" s="1">
        <f>D22*D26</f>
        <v>28910</v>
      </c>
      <c r="G29" s="14" t="s">
        <v>184</v>
      </c>
      <c r="H29" s="1">
        <f>H22*H26</f>
        <v>4425</v>
      </c>
      <c r="K29" s="14" t="s">
        <v>184</v>
      </c>
      <c r="L29" s="1">
        <f>L22*L26</f>
        <v>1460</v>
      </c>
      <c r="O29" t="s">
        <v>156</v>
      </c>
      <c r="P29" s="60">
        <f>269*2.832*1000</f>
        <v>761808</v>
      </c>
    </row>
    <row r="30" spans="3:16" ht="15.75" customHeight="1">
      <c r="O30" t="s">
        <v>157</v>
      </c>
      <c r="P30">
        <f>P29*0.3</f>
        <v>228542.4</v>
      </c>
    </row>
    <row r="31" spans="3:16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7" t="s">
        <v>158</v>
      </c>
      <c r="P31">
        <v>220000</v>
      </c>
    </row>
    <row r="32" spans="3:16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185</v>
      </c>
      <c r="D33" s="1">
        <f>D15</f>
        <v>9.0896E-4</v>
      </c>
      <c r="G33" t="s">
        <v>185</v>
      </c>
      <c r="H33" s="1">
        <v>5.5900000000000004E-3</v>
      </c>
      <c r="K33" t="s">
        <v>185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127</v>
      </c>
      <c r="D41" s="1">
        <v>55</v>
      </c>
      <c r="G41" s="32" t="s">
        <v>127</v>
      </c>
      <c r="H41" s="1">
        <v>140</v>
      </c>
      <c r="K41" s="32" t="s">
        <v>127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112</v>
      </c>
      <c r="D44" s="1">
        <f>D43*D20/1000</f>
        <v>20212.5</v>
      </c>
      <c r="G44" s="12" t="s">
        <v>112</v>
      </c>
      <c r="H44" s="1">
        <f>H43*H20/1000</f>
        <v>7875</v>
      </c>
      <c r="K44" s="12" t="s">
        <v>112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113</v>
      </c>
      <c r="D50" s="1">
        <f>D49*D20/1000</f>
        <v>5512.5</v>
      </c>
      <c r="G50" s="12" t="s">
        <v>113</v>
      </c>
      <c r="H50" s="1">
        <f>H49*H20/1000</f>
        <v>2812.5</v>
      </c>
      <c r="K50" s="12" t="s">
        <v>113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T2:X2"/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abSelected="1" topLeftCell="C18" workbookViewId="0">
      <selection activeCell="H34" activeCellId="1" sqref="H32 H34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4.5703125" customWidth="1"/>
    <col min="9" max="10" width="11.42578125" customWidth="1"/>
    <col min="11" max="11" width="59" customWidth="1"/>
    <col min="12" max="12" width="24.5703125" customWidth="1"/>
    <col min="13" max="14" width="11.42578125" customWidth="1"/>
    <col min="15" max="15" width="22.5703125" customWidth="1"/>
    <col min="16" max="17" width="11.85546875" customWidth="1"/>
    <col min="18" max="18" width="16.7109375" customWidth="1"/>
    <col min="19" max="19" width="11.42578125" customWidth="1"/>
    <col min="20" max="20" width="21.42578125" customWidth="1"/>
    <col min="21" max="22" width="11.42578125" customWidth="1"/>
    <col min="23" max="23" width="12.28515625" customWidth="1"/>
    <col min="24" max="24" width="14.7109375" customWidth="1"/>
    <col min="25" max="32" width="11.42578125" customWidth="1"/>
  </cols>
  <sheetData>
    <row r="2" spans="3:24" ht="15.75">
      <c r="T2" s="97" t="s">
        <v>128</v>
      </c>
      <c r="U2" s="92"/>
      <c r="V2" s="92"/>
      <c r="W2" s="92"/>
      <c r="X2" s="92"/>
    </row>
    <row r="3" spans="3:24">
      <c r="C3" s="5" t="s">
        <v>66</v>
      </c>
      <c r="D3" s="106" t="s">
        <v>129</v>
      </c>
      <c r="G3" s="5" t="s">
        <v>66</v>
      </c>
      <c r="H3" s="106" t="s">
        <v>130</v>
      </c>
      <c r="K3" s="5" t="s">
        <v>66</v>
      </c>
      <c r="L3" s="106" t="s">
        <v>131</v>
      </c>
      <c r="O3" s="16"/>
      <c r="P3" s="17" t="s">
        <v>132</v>
      </c>
      <c r="Q3" s="17" t="s">
        <v>133</v>
      </c>
      <c r="R3" s="17" t="s">
        <v>134</v>
      </c>
      <c r="T3" s="16"/>
      <c r="U3" s="17" t="s">
        <v>132</v>
      </c>
      <c r="V3" s="17" t="s">
        <v>133</v>
      </c>
      <c r="W3" s="17" t="s">
        <v>134</v>
      </c>
      <c r="X3" s="18" t="s">
        <v>135</v>
      </c>
    </row>
    <row r="4" spans="3:24">
      <c r="C4" s="5" t="s">
        <v>74</v>
      </c>
      <c r="D4" s="5" t="s">
        <v>136</v>
      </c>
      <c r="G4" s="5" t="s">
        <v>74</v>
      </c>
      <c r="H4" s="5" t="s">
        <v>136</v>
      </c>
      <c r="K4" s="5" t="s">
        <v>74</v>
      </c>
      <c r="L4" s="5" t="s">
        <v>137</v>
      </c>
      <c r="O4" s="16" t="s">
        <v>75</v>
      </c>
      <c r="P4" s="3">
        <f>1-D29/2064</f>
        <v>-3767.4350775193798</v>
      </c>
      <c r="Q4" s="3">
        <f>1-H29/2064</f>
        <v>-40373.725290697672</v>
      </c>
      <c r="R4" s="3">
        <f>1-L29/2064</f>
        <v>-375.90552325581393</v>
      </c>
      <c r="T4" s="16" t="s">
        <v>76</v>
      </c>
      <c r="U4" s="3">
        <v>20000</v>
      </c>
      <c r="V4" s="3">
        <v>10000</v>
      </c>
      <c r="W4" s="3">
        <v>10000</v>
      </c>
      <c r="X4" s="19">
        <f t="shared" ref="X4:X8" si="0">(U4+V4+W4)/3</f>
        <v>13333.333333333334</v>
      </c>
    </row>
    <row r="5" spans="3:24">
      <c r="C5" s="3" t="s">
        <v>77</v>
      </c>
      <c r="D5" s="3" t="s">
        <v>138</v>
      </c>
      <c r="G5" s="3" t="s">
        <v>77</v>
      </c>
      <c r="H5" s="3" t="s">
        <v>138</v>
      </c>
      <c r="K5" s="3" t="s">
        <v>77</v>
      </c>
      <c r="L5" s="3" t="s">
        <v>139</v>
      </c>
      <c r="O5" s="16" t="s">
        <v>79</v>
      </c>
      <c r="P5" s="20">
        <f>1/(D32/2064)/1.041</f>
        <v>2.832342201905189E-3</v>
      </c>
      <c r="Q5" s="20">
        <f>1/(H32/2064)/1.041</f>
        <v>1.9827065624005311E-2</v>
      </c>
      <c r="R5" s="20">
        <f>1/(L32/2064)/1.041</f>
        <v>5.5406272936480649E-2</v>
      </c>
      <c r="T5" s="3" t="s">
        <v>124</v>
      </c>
      <c r="U5" s="3">
        <f>D29</f>
        <v>7778050</v>
      </c>
      <c r="V5" s="3">
        <f>H29</f>
        <v>83333433</v>
      </c>
      <c r="W5" s="3">
        <f>L29</f>
        <v>777933</v>
      </c>
      <c r="X5" s="19">
        <f t="shared" si="0"/>
        <v>30629805.333333332</v>
      </c>
    </row>
    <row r="6" spans="3:24">
      <c r="K6" s="1" t="s">
        <v>126</v>
      </c>
      <c r="L6" s="9">
        <f>L11/L15</f>
        <v>212.89060040345305</v>
      </c>
      <c r="O6" s="16" t="s">
        <v>81</v>
      </c>
      <c r="P6" s="21">
        <f>1/(D34/1.88)/1.5</f>
        <v>8.2066510898476455E-3</v>
      </c>
      <c r="Q6" s="21">
        <f>1/(H34/1.88)/1.5</f>
        <v>6.5045855468801048E-3</v>
      </c>
      <c r="R6" s="21">
        <f>1/(L34/1.88)/1.5</f>
        <v>9.5274873656998202E-2</v>
      </c>
      <c r="T6" s="16" t="s">
        <v>79</v>
      </c>
      <c r="U6" s="20">
        <f>D9</f>
        <v>4</v>
      </c>
      <c r="V6" s="20">
        <f>H9</f>
        <v>28.000000000000007</v>
      </c>
      <c r="W6" s="20">
        <f>L7</f>
        <v>78.260869565217391</v>
      </c>
      <c r="X6" s="19">
        <f t="shared" si="0"/>
        <v>36.753623188405804</v>
      </c>
    </row>
    <row r="7" spans="3:24">
      <c r="C7" s="1" t="s">
        <v>126</v>
      </c>
      <c r="D7" s="1">
        <v>73</v>
      </c>
      <c r="G7" s="1" t="s">
        <v>126</v>
      </c>
      <c r="H7" s="1">
        <v>58</v>
      </c>
      <c r="K7" s="1" t="s">
        <v>82</v>
      </c>
      <c r="L7" s="23">
        <f>L11/L8</f>
        <v>78.260869565217391</v>
      </c>
      <c r="O7" s="16" t="s">
        <v>83</v>
      </c>
      <c r="P7" s="3">
        <f>D50/387</f>
        <v>7.2238372093023253</v>
      </c>
      <c r="Q7" s="3">
        <f>H50/387</f>
        <v>3.6117965116279067</v>
      </c>
      <c r="R7" s="3">
        <f>L50/387</f>
        <v>6.9156976744186043</v>
      </c>
      <c r="T7" s="16" t="s">
        <v>84</v>
      </c>
      <c r="U7" s="21">
        <f>D7</f>
        <v>73</v>
      </c>
      <c r="V7" s="21">
        <f>H7</f>
        <v>58</v>
      </c>
      <c r="W7" s="21">
        <f>L6</f>
        <v>212.89060040345305</v>
      </c>
      <c r="X7" s="19">
        <f t="shared" si="0"/>
        <v>114.63020013448435</v>
      </c>
    </row>
    <row r="8" spans="3:24">
      <c r="C8" s="1" t="s">
        <v>125</v>
      </c>
      <c r="D8" s="1">
        <v>0.09</v>
      </c>
      <c r="G8" s="1" t="s">
        <v>140</v>
      </c>
      <c r="H8" s="1">
        <v>1.1999999999999999E-3</v>
      </c>
      <c r="K8" s="1" t="s">
        <v>125</v>
      </c>
      <c r="L8" s="1">
        <v>4.5999999999999999E-2</v>
      </c>
      <c r="O8" s="16" t="s">
        <v>87</v>
      </c>
      <c r="P8" s="3">
        <f>D44/1419</f>
        <v>39.402748414376319</v>
      </c>
      <c r="Q8" s="3">
        <f>H44/1419</f>
        <v>39.401416490486262</v>
      </c>
      <c r="R8" s="3">
        <f>L44/1419</f>
        <v>15.088794926004228</v>
      </c>
      <c r="T8" s="16" t="s">
        <v>83</v>
      </c>
      <c r="U8" s="3">
        <f>D50</f>
        <v>2795.625</v>
      </c>
      <c r="V8" s="3">
        <f>H50</f>
        <v>1397.7652499999999</v>
      </c>
      <c r="W8" s="3">
        <f>L50</f>
        <v>2676.375</v>
      </c>
      <c r="X8" s="19">
        <f t="shared" si="0"/>
        <v>2289.92175</v>
      </c>
    </row>
    <row r="9" spans="3:24">
      <c r="C9" s="1" t="s">
        <v>82</v>
      </c>
      <c r="D9" s="9">
        <f>D10/D8</f>
        <v>4</v>
      </c>
      <c r="G9" s="1" t="s">
        <v>141</v>
      </c>
      <c r="H9" s="9">
        <f>H10/H8</f>
        <v>28.000000000000007</v>
      </c>
    </row>
    <row r="10" spans="3:24">
      <c r="C10" s="1" t="s">
        <v>91</v>
      </c>
      <c r="D10" s="9">
        <v>0.36</v>
      </c>
      <c r="G10" s="1" t="s">
        <v>91</v>
      </c>
      <c r="H10" s="9">
        <f>2.4*14*0.001</f>
        <v>3.3600000000000005E-2</v>
      </c>
    </row>
    <row r="11" spans="3:24">
      <c r="K11" s="1" t="s">
        <v>91</v>
      </c>
      <c r="L11" s="1">
        <v>3.6</v>
      </c>
    </row>
    <row r="12" spans="3:24">
      <c r="C12" s="1" t="s">
        <v>142</v>
      </c>
      <c r="D12" s="1">
        <v>12.5</v>
      </c>
      <c r="G12" s="1" t="s">
        <v>142</v>
      </c>
      <c r="H12" s="1">
        <v>8</v>
      </c>
      <c r="K12" s="1" t="s">
        <v>143</v>
      </c>
      <c r="L12" s="1">
        <f>18.2/2</f>
        <v>9.1</v>
      </c>
    </row>
    <row r="13" spans="3:24">
      <c r="C13" s="1" t="s">
        <v>144</v>
      </c>
      <c r="D13" s="1">
        <v>40</v>
      </c>
      <c r="G13" s="1" t="s">
        <v>144</v>
      </c>
      <c r="H13" s="1">
        <v>11.5</v>
      </c>
      <c r="K13" s="1" t="s">
        <v>144</v>
      </c>
      <c r="L13" s="1">
        <v>65</v>
      </c>
    </row>
    <row r="15" spans="3:24">
      <c r="C15" s="1" t="s">
        <v>100</v>
      </c>
      <c r="D15" s="31">
        <f>PI()*(D12^2)*D13/1000000</f>
        <v>1.963495408493621E-2</v>
      </c>
      <c r="G15" s="1" t="s">
        <v>100</v>
      </c>
      <c r="H15" s="31">
        <f>PI()*(H12^2)*H13/1000000</f>
        <v>2.3122121930420876E-3</v>
      </c>
      <c r="K15" s="1" t="s">
        <v>100</v>
      </c>
      <c r="L15" s="33">
        <f>PI()*(L12^2)*L13/1000000</f>
        <v>1.69100936968451E-2</v>
      </c>
    </row>
    <row r="19" spans="3:12">
      <c r="C19" s="1" t="s">
        <v>66</v>
      </c>
      <c r="G19" s="1" t="s">
        <v>66</v>
      </c>
      <c r="K19" s="1" t="s">
        <v>66</v>
      </c>
    </row>
    <row r="20" spans="3:12">
      <c r="C20" s="83" t="s">
        <v>34</v>
      </c>
      <c r="D20" s="84">
        <v>750</v>
      </c>
      <c r="G20" s="83" t="s">
        <v>34</v>
      </c>
      <c r="H20" s="84">
        <v>750</v>
      </c>
      <c r="K20" s="83" t="s">
        <v>34</v>
      </c>
      <c r="L20" s="84">
        <v>750</v>
      </c>
    </row>
    <row r="21" spans="3:12" ht="15.75" customHeight="1">
      <c r="C21" s="1" t="s">
        <v>35</v>
      </c>
      <c r="D21" s="86">
        <f>2.4</f>
        <v>2.4</v>
      </c>
      <c r="G21" s="1" t="s">
        <v>35</v>
      </c>
      <c r="H21" s="86">
        <f>2.4</f>
        <v>2.4</v>
      </c>
      <c r="K21" s="1" t="s">
        <v>35</v>
      </c>
      <c r="L21" s="86">
        <f>2.3</f>
        <v>2.2999999999999998</v>
      </c>
    </row>
    <row r="22" spans="3:12" ht="15.75" customHeight="1">
      <c r="C22" s="12" t="s">
        <v>183</v>
      </c>
      <c r="D22" s="1">
        <f>ROUNDUP(D20/D21,0)</f>
        <v>313</v>
      </c>
      <c r="G22" s="12" t="s">
        <v>183</v>
      </c>
      <c r="H22" s="1">
        <f>ROUNDUP(H20/H21,0)</f>
        <v>313</v>
      </c>
      <c r="K22" s="12" t="s">
        <v>183</v>
      </c>
      <c r="L22" s="1">
        <f>ROUNDUP(L20/L21,0)</f>
        <v>327</v>
      </c>
    </row>
    <row r="23" spans="3:12" ht="15.75" customHeight="1">
      <c r="C23" s="1" t="s">
        <v>37</v>
      </c>
      <c r="D23" s="87">
        <f>D10</f>
        <v>0.36</v>
      </c>
      <c r="G23" s="1" t="s">
        <v>37</v>
      </c>
      <c r="H23" s="87">
        <f>H10</f>
        <v>3.3600000000000005E-2</v>
      </c>
      <c r="K23" s="1" t="s">
        <v>37</v>
      </c>
      <c r="L23" s="86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3" t="s">
        <v>39</v>
      </c>
      <c r="D25" s="83">
        <v>2800000</v>
      </c>
      <c r="G25" s="83" t="s">
        <v>39</v>
      </c>
      <c r="H25" s="83">
        <v>2800000</v>
      </c>
      <c r="K25" s="83" t="s">
        <v>39</v>
      </c>
      <c r="L25" s="83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184</v>
      </c>
      <c r="D29" s="1">
        <f>D22*D26</f>
        <v>7778050</v>
      </c>
      <c r="G29" s="14" t="s">
        <v>184</v>
      </c>
      <c r="H29" s="1">
        <f>H22*H26</f>
        <v>83333433</v>
      </c>
      <c r="K29" s="14" t="s">
        <v>184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185</v>
      </c>
      <c r="D33" s="34">
        <f>D15/1000</f>
        <v>1.963495408493621E-5</v>
      </c>
      <c r="G33" t="s">
        <v>185</v>
      </c>
      <c r="H33" s="1">
        <f>H15/1000</f>
        <v>2.3122121930420875E-6</v>
      </c>
      <c r="K33" t="s">
        <v>185</v>
      </c>
      <c r="L33" s="88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127</v>
      </c>
      <c r="D41" s="1">
        <f>3</f>
        <v>3</v>
      </c>
      <c r="G41" s="32" t="s">
        <v>127</v>
      </c>
      <c r="H41" s="1">
        <f>0.28</f>
        <v>0.28000000000000003</v>
      </c>
      <c r="K41" s="32" t="s">
        <v>127</v>
      </c>
      <c r="L41" s="1">
        <f>12</f>
        <v>12</v>
      </c>
    </row>
    <row r="42" spans="3:13" ht="15.75" customHeight="1">
      <c r="C42" s="12" t="s">
        <v>56</v>
      </c>
      <c r="D42" s="89">
        <f>D41*1</f>
        <v>3</v>
      </c>
      <c r="G42" s="12" t="s">
        <v>56</v>
      </c>
      <c r="H42" s="89">
        <f>H41</f>
        <v>0.28000000000000003</v>
      </c>
      <c r="K42" s="12" t="s">
        <v>56</v>
      </c>
      <c r="L42" s="89">
        <f>L41</f>
        <v>12</v>
      </c>
    </row>
    <row r="43" spans="3:13" ht="15.75" customHeight="1">
      <c r="C43" s="12" t="s">
        <v>57</v>
      </c>
      <c r="D43" s="89">
        <f>D42*D26</f>
        <v>74550</v>
      </c>
      <c r="E43">
        <f>D43/1000</f>
        <v>74.55</v>
      </c>
      <c r="G43" s="12" t="s">
        <v>57</v>
      </c>
      <c r="H43" s="89">
        <f>H42*H26</f>
        <v>74547.48000000001</v>
      </c>
      <c r="K43" s="12" t="s">
        <v>57</v>
      </c>
      <c r="L43" s="89">
        <f>L42*L26</f>
        <v>28548</v>
      </c>
      <c r="M43">
        <f>L43/1000</f>
        <v>28.547999999999998</v>
      </c>
    </row>
    <row r="44" spans="3:13" ht="15.75" customHeight="1">
      <c r="C44" s="12" t="s">
        <v>112</v>
      </c>
      <c r="D44" s="89">
        <f>D43*D20/1000</f>
        <v>55912.5</v>
      </c>
      <c r="E44">
        <f>D44/1000</f>
        <v>55.912500000000001</v>
      </c>
      <c r="G44" s="12" t="s">
        <v>112</v>
      </c>
      <c r="H44" s="89">
        <f>H43*H20/1000</f>
        <v>55910.610000000008</v>
      </c>
      <c r="K44" s="107" t="s">
        <v>112</v>
      </c>
      <c r="L44" s="89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9">
        <f>D40</f>
        <v>0.15</v>
      </c>
      <c r="G48" s="12" t="s">
        <v>62</v>
      </c>
      <c r="H48" s="89">
        <f>H40</f>
        <v>7.0000000000000001E-3</v>
      </c>
      <c r="K48" s="12" t="s">
        <v>62</v>
      </c>
      <c r="L48" s="89">
        <f>L40</f>
        <v>1.5</v>
      </c>
    </row>
    <row r="49" spans="3:13" ht="15.75" customHeight="1">
      <c r="C49" s="12" t="s">
        <v>63</v>
      </c>
      <c r="D49" s="89">
        <f>D48*D26</f>
        <v>3727.5</v>
      </c>
      <c r="E49">
        <f>D49/1000</f>
        <v>3.7275</v>
      </c>
      <c r="G49" s="12" t="s">
        <v>63</v>
      </c>
      <c r="H49" s="89">
        <f>H48*H26</f>
        <v>1863.6870000000001</v>
      </c>
      <c r="K49" s="12" t="s">
        <v>63</v>
      </c>
      <c r="L49" s="89">
        <f>L48*L26</f>
        <v>3568.5</v>
      </c>
      <c r="M49">
        <f>L49/1000</f>
        <v>3.5684999999999998</v>
      </c>
    </row>
    <row r="50" spans="3:13" ht="15.75" customHeight="1">
      <c r="C50" s="12" t="s">
        <v>113</v>
      </c>
      <c r="D50" s="89">
        <f>D49*D20/1000</f>
        <v>2795.625</v>
      </c>
      <c r="E50">
        <f>D50/1000</f>
        <v>2.7956249999999998</v>
      </c>
      <c r="G50" s="12" t="s">
        <v>113</v>
      </c>
      <c r="H50" s="89">
        <f>H49*H20/1000</f>
        <v>1397.7652499999999</v>
      </c>
      <c r="K50" s="12" t="s">
        <v>113</v>
      </c>
      <c r="L50" s="89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T2:X2"/>
  </mergeCells>
  <pageMargins left="0.7" right="0.7" top="0.75" bottom="0.75" header="0" footer="0"/>
  <pageSetup orientation="landscape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G1000"/>
  <sheetViews>
    <sheetView zoomScale="120" zoomScaleNormal="120" workbookViewId="0">
      <selection activeCell="AB8" sqref="AB8"/>
    </sheetView>
  </sheetViews>
  <sheetFormatPr baseColWidth="10" defaultColWidth="12.5703125" defaultRowHeight="15" customHeight="1"/>
  <cols>
    <col min="1" max="2" width="10.5703125" customWidth="1"/>
    <col min="3" max="3" width="25.42578125" customWidth="1"/>
    <col min="4" max="5" width="10.5703125" customWidth="1"/>
    <col min="6" max="6" width="14" customWidth="1"/>
    <col min="7" max="10" width="10.5703125" customWidth="1"/>
    <col min="11" max="11" width="22.7109375" customWidth="1"/>
    <col min="12" max="12" width="14.5703125" customWidth="1"/>
    <col min="13" max="13" width="15.5703125" customWidth="1"/>
    <col min="14" max="14" width="13.5703125" customWidth="1"/>
    <col min="15" max="15" width="14.5703125" customWidth="1"/>
    <col min="16" max="18" width="10.5703125" customWidth="1"/>
    <col min="19" max="19" width="22.7109375" customWidth="1"/>
    <col min="20" max="20" width="8" customWidth="1"/>
    <col min="21" max="22" width="12" customWidth="1"/>
    <col min="23" max="23" width="13" customWidth="1"/>
    <col min="24" max="26" width="10.5703125" customWidth="1"/>
    <col min="27" max="27" width="22.7109375" customWidth="1"/>
    <col min="28" max="28" width="8.28515625" customWidth="1"/>
    <col min="29" max="29" width="11.5703125" customWidth="1"/>
    <col min="30" max="30" width="8.140625" customWidth="1"/>
    <col min="31" max="31" width="13.28515625" customWidth="1"/>
    <col min="32" max="34" width="10.5703125" customWidth="1"/>
  </cols>
  <sheetData>
    <row r="3" spans="3:33">
      <c r="C3" s="101" t="s">
        <v>117</v>
      </c>
      <c r="D3" s="102"/>
      <c r="E3" s="102"/>
      <c r="F3" s="102"/>
      <c r="G3" s="103"/>
      <c r="K3" s="101" t="s">
        <v>128</v>
      </c>
      <c r="L3" s="104"/>
      <c r="M3" s="104"/>
      <c r="N3" s="104"/>
      <c r="O3" s="105"/>
      <c r="S3" s="101" t="s">
        <v>65</v>
      </c>
      <c r="T3" s="104"/>
      <c r="U3" s="104"/>
      <c r="V3" s="104"/>
      <c r="W3" s="105"/>
      <c r="AA3" s="101" t="s">
        <v>145</v>
      </c>
      <c r="AB3" s="104"/>
      <c r="AC3" s="104"/>
      <c r="AD3" s="104"/>
      <c r="AE3" s="105"/>
    </row>
    <row r="4" spans="3:33">
      <c r="C4" s="35"/>
      <c r="D4" s="36" t="s">
        <v>120</v>
      </c>
      <c r="E4" s="36" t="s">
        <v>121</v>
      </c>
      <c r="F4" s="36" t="s">
        <v>119</v>
      </c>
      <c r="G4" s="36" t="s">
        <v>122</v>
      </c>
      <c r="K4" s="37"/>
      <c r="L4" s="37" t="s">
        <v>132</v>
      </c>
      <c r="M4" s="37" t="s">
        <v>133</v>
      </c>
      <c r="N4" s="37" t="s">
        <v>134</v>
      </c>
      <c r="O4" s="36" t="s">
        <v>135</v>
      </c>
      <c r="S4" s="35"/>
      <c r="T4" s="37" t="s">
        <v>70</v>
      </c>
      <c r="U4" s="37" t="s">
        <v>71</v>
      </c>
      <c r="V4" s="37" t="s">
        <v>72</v>
      </c>
      <c r="W4" s="36" t="s">
        <v>73</v>
      </c>
      <c r="AA4" s="35"/>
      <c r="AB4" s="36" t="s">
        <v>123</v>
      </c>
      <c r="AC4" s="36" t="s">
        <v>78</v>
      </c>
      <c r="AD4" s="36" t="s">
        <v>139</v>
      </c>
      <c r="AE4" s="36" t="s">
        <v>122</v>
      </c>
      <c r="AG4" s="1">
        <v>976</v>
      </c>
    </row>
    <row r="5" spans="3:33">
      <c r="C5" s="35" t="s">
        <v>76</v>
      </c>
      <c r="D5" s="38">
        <v>1000</v>
      </c>
      <c r="E5" s="38">
        <v>1000</v>
      </c>
      <c r="F5" s="38">
        <v>2000</v>
      </c>
      <c r="G5" s="39">
        <v>1333.3333333333333</v>
      </c>
      <c r="K5" s="37" t="s">
        <v>76</v>
      </c>
      <c r="L5" s="39">
        <v>20000</v>
      </c>
      <c r="M5" s="39">
        <v>10000</v>
      </c>
      <c r="N5" s="39">
        <v>10000</v>
      </c>
      <c r="O5" s="39">
        <v>13333.333333333334</v>
      </c>
      <c r="S5" s="37" t="s">
        <v>76</v>
      </c>
      <c r="T5" s="35">
        <v>1500</v>
      </c>
      <c r="U5" s="35">
        <v>2000</v>
      </c>
      <c r="V5" s="35">
        <v>4000</v>
      </c>
      <c r="W5" s="35">
        <v>2500</v>
      </c>
      <c r="AA5" s="37" t="s">
        <v>76</v>
      </c>
      <c r="AB5" s="39">
        <f t="shared" ref="AB5:AB9" si="0">G5</f>
        <v>1333.3333333333333</v>
      </c>
      <c r="AC5" s="35">
        <f t="shared" ref="AC5:AC8" si="1">W5</f>
        <v>2500</v>
      </c>
      <c r="AD5" s="39">
        <f t="shared" ref="AD5:AD8" si="2">O5</f>
        <v>13333.333333333334</v>
      </c>
      <c r="AE5" s="35">
        <f t="shared" ref="AE5:AE9" si="3">(AB5+AC5+AD5)/3</f>
        <v>5722.2222222222226</v>
      </c>
      <c r="AG5" s="1">
        <f>AG4*0.8</f>
        <v>780.80000000000007</v>
      </c>
    </row>
    <row r="6" spans="3:33">
      <c r="C6" s="35" t="s">
        <v>124</v>
      </c>
      <c r="D6" s="38">
        <v>25058</v>
      </c>
      <c r="E6" s="38">
        <v>8375</v>
      </c>
      <c r="F6" s="38">
        <v>7128</v>
      </c>
      <c r="G6" s="39">
        <v>13520.333333333334</v>
      </c>
      <c r="K6" s="37" t="s">
        <v>124</v>
      </c>
      <c r="L6" s="39">
        <v>7004</v>
      </c>
      <c r="M6" s="39">
        <v>7480</v>
      </c>
      <c r="N6" s="39">
        <v>8365</v>
      </c>
      <c r="O6" s="39">
        <v>7616.333333333333</v>
      </c>
      <c r="S6" s="37" t="s">
        <v>80</v>
      </c>
      <c r="T6" s="35">
        <v>30965</v>
      </c>
      <c r="U6" s="35">
        <v>4730</v>
      </c>
      <c r="V6" s="35">
        <v>1577</v>
      </c>
      <c r="W6" s="39">
        <v>12424</v>
      </c>
      <c r="AA6" s="37" t="s">
        <v>80</v>
      </c>
      <c r="AB6" s="39">
        <f t="shared" si="0"/>
        <v>13520.333333333334</v>
      </c>
      <c r="AC6" s="39">
        <f t="shared" si="1"/>
        <v>12424</v>
      </c>
      <c r="AD6" s="39">
        <f>O6</f>
        <v>7616.333333333333</v>
      </c>
      <c r="AE6" s="35">
        <f t="shared" si="3"/>
        <v>11186.888888888891</v>
      </c>
      <c r="AG6" s="1">
        <f>AG4*0.6</f>
        <v>585.6</v>
      </c>
    </row>
    <row r="7" spans="3:33">
      <c r="C7" s="35" t="s">
        <v>79</v>
      </c>
      <c r="D7" s="38">
        <v>150</v>
      </c>
      <c r="E7" s="38">
        <v>171.42857142857142</v>
      </c>
      <c r="F7" s="38">
        <v>970.728603245307</v>
      </c>
      <c r="G7" s="39">
        <v>430.71905822462617</v>
      </c>
      <c r="K7" s="37" t="s">
        <v>79</v>
      </c>
      <c r="L7" s="39">
        <v>15.926129424448261</v>
      </c>
      <c r="M7" s="39">
        <v>111.75692266370092</v>
      </c>
      <c r="N7" s="39">
        <v>78.260869565217391</v>
      </c>
      <c r="O7" s="39">
        <v>68.647973884455524</v>
      </c>
      <c r="S7" s="37" t="s">
        <v>79</v>
      </c>
      <c r="T7" s="35">
        <v>97</v>
      </c>
      <c r="U7" s="39">
        <v>101.5873015873016</v>
      </c>
      <c r="V7" s="35">
        <v>102</v>
      </c>
      <c r="W7" s="39">
        <v>100.19576719576719</v>
      </c>
      <c r="AA7" s="37" t="s">
        <v>79</v>
      </c>
      <c r="AB7" s="39">
        <f t="shared" si="0"/>
        <v>430.71905822462617</v>
      </c>
      <c r="AC7" s="39">
        <f>W7</f>
        <v>100.19576719576719</v>
      </c>
      <c r="AD7" s="39">
        <f t="shared" si="2"/>
        <v>68.647973884455524</v>
      </c>
      <c r="AE7" s="35">
        <f t="shared" si="3"/>
        <v>199.85426643494961</v>
      </c>
      <c r="AG7" s="1">
        <f>AG4*0.4</f>
        <v>390.40000000000003</v>
      </c>
    </row>
    <row r="8" spans="3:33">
      <c r="C8" s="35" t="s">
        <v>84</v>
      </c>
      <c r="D8" s="38">
        <v>244.89795918367346</v>
      </c>
      <c r="E8" s="38">
        <v>319.43212067435672</v>
      </c>
      <c r="F8" s="38">
        <v>108.543446336261</v>
      </c>
      <c r="G8" s="39">
        <v>224.29117539809707</v>
      </c>
      <c r="K8" s="37" t="s">
        <v>84</v>
      </c>
      <c r="L8" s="39">
        <v>73</v>
      </c>
      <c r="M8" s="39">
        <v>58</v>
      </c>
      <c r="N8" s="39">
        <v>212.89060040345305</v>
      </c>
      <c r="O8" s="39">
        <v>114.63020013448435</v>
      </c>
      <c r="S8" s="37" t="s">
        <v>84</v>
      </c>
      <c r="T8" s="35">
        <v>107</v>
      </c>
      <c r="U8" s="39">
        <v>114.4483535710211</v>
      </c>
      <c r="V8" s="39">
        <v>162.13203627704311</v>
      </c>
      <c r="W8" s="39">
        <v>127.86012994935474</v>
      </c>
      <c r="AA8" s="37" t="s">
        <v>84</v>
      </c>
      <c r="AB8" s="39">
        <f t="shared" si="0"/>
        <v>224.29117539809707</v>
      </c>
      <c r="AC8" s="39">
        <f t="shared" si="1"/>
        <v>127.86012994935474</v>
      </c>
      <c r="AD8" s="39">
        <f t="shared" si="2"/>
        <v>114.63020013448435</v>
      </c>
      <c r="AE8" s="35">
        <f t="shared" si="3"/>
        <v>155.5938351606454</v>
      </c>
      <c r="AG8" s="1">
        <f>AG4*0.2</f>
        <v>195.20000000000002</v>
      </c>
    </row>
    <row r="9" spans="3:33">
      <c r="C9" s="35" t="s">
        <v>83</v>
      </c>
      <c r="D9" s="38">
        <v>1496</v>
      </c>
      <c r="E9" s="38">
        <v>3000</v>
      </c>
      <c r="F9" s="38">
        <v>2764.8</v>
      </c>
      <c r="G9" s="39">
        <v>2420.2666666666669</v>
      </c>
      <c r="K9" s="37" t="s">
        <v>83</v>
      </c>
      <c r="L9" s="39">
        <v>7416</v>
      </c>
      <c r="M9" s="39">
        <v>7392</v>
      </c>
      <c r="N9" s="39">
        <v>28680</v>
      </c>
      <c r="O9" s="39">
        <v>14496</v>
      </c>
      <c r="S9" s="37" t="s">
        <v>83</v>
      </c>
      <c r="T9" s="35">
        <v>5911.5</v>
      </c>
      <c r="U9" s="35">
        <v>3010</v>
      </c>
      <c r="V9" s="35">
        <v>2905</v>
      </c>
      <c r="W9" s="35">
        <v>3942.1666666666665</v>
      </c>
      <c r="AA9" s="37" t="s">
        <v>83</v>
      </c>
      <c r="AB9" s="39">
        <f t="shared" si="0"/>
        <v>2420.2666666666669</v>
      </c>
      <c r="AC9" s="39">
        <f>W9</f>
        <v>3942.1666666666665</v>
      </c>
      <c r="AD9" s="39">
        <f>O9</f>
        <v>14496</v>
      </c>
      <c r="AE9" s="35">
        <f t="shared" si="3"/>
        <v>6952.8111111111111</v>
      </c>
    </row>
    <row r="13" spans="3:33">
      <c r="C13" s="101" t="s">
        <v>146</v>
      </c>
      <c r="D13" s="104"/>
      <c r="E13" s="104"/>
      <c r="F13" s="104"/>
      <c r="G13" s="105"/>
      <c r="K13" s="101" t="s">
        <v>147</v>
      </c>
      <c r="L13" s="104"/>
      <c r="M13" s="104"/>
      <c r="N13" s="104"/>
      <c r="O13" s="105"/>
      <c r="S13" s="101" t="s">
        <v>148</v>
      </c>
      <c r="T13" s="104"/>
      <c r="U13" s="104"/>
      <c r="V13" s="104"/>
      <c r="W13" s="105"/>
      <c r="AA13" s="101" t="s">
        <v>145</v>
      </c>
      <c r="AB13" s="104"/>
      <c r="AC13" s="104"/>
      <c r="AD13" s="104"/>
      <c r="AE13" s="105"/>
    </row>
    <row r="14" spans="3:33">
      <c r="C14" s="35"/>
      <c r="D14" s="36" t="s">
        <v>120</v>
      </c>
      <c r="E14" s="36" t="s">
        <v>121</v>
      </c>
      <c r="F14" s="36" t="s">
        <v>119</v>
      </c>
      <c r="G14" s="36" t="s">
        <v>122</v>
      </c>
      <c r="K14" s="37"/>
      <c r="L14" s="37" t="s">
        <v>132</v>
      </c>
      <c r="M14" s="37" t="s">
        <v>133</v>
      </c>
      <c r="N14" s="37" t="s">
        <v>134</v>
      </c>
      <c r="O14" s="37" t="s">
        <v>135</v>
      </c>
      <c r="S14" s="35"/>
      <c r="T14" s="37" t="s">
        <v>70</v>
      </c>
      <c r="U14" s="37" t="s">
        <v>71</v>
      </c>
      <c r="V14" s="37" t="s">
        <v>72</v>
      </c>
      <c r="W14" s="37" t="s">
        <v>73</v>
      </c>
      <c r="AA14" s="35"/>
      <c r="AB14" s="36" t="s">
        <v>123</v>
      </c>
      <c r="AC14" s="36" t="s">
        <v>78</v>
      </c>
      <c r="AD14" s="36" t="s">
        <v>139</v>
      </c>
      <c r="AE14" s="36" t="s">
        <v>122</v>
      </c>
    </row>
    <row r="15" spans="3:33">
      <c r="C15" s="35" t="s">
        <v>76</v>
      </c>
      <c r="D15" s="40">
        <v>0.5</v>
      </c>
      <c r="E15" s="40">
        <v>0.5</v>
      </c>
      <c r="F15" s="38">
        <v>1</v>
      </c>
      <c r="G15" s="41">
        <f>1333.33333333333/2000</f>
        <v>0.66666666666666508</v>
      </c>
      <c r="K15" s="37" t="s">
        <v>76</v>
      </c>
      <c r="L15" s="39">
        <f>20000/20000</f>
        <v>1</v>
      </c>
      <c r="M15" s="42">
        <f t="shared" ref="M15:N15" si="4">10000/20000</f>
        <v>0.5</v>
      </c>
      <c r="N15" s="42">
        <f t="shared" si="4"/>
        <v>0.5</v>
      </c>
      <c r="O15" s="41">
        <f>13333.3333333333/20000</f>
        <v>0.66666666666666496</v>
      </c>
      <c r="S15" s="37" t="s">
        <v>76</v>
      </c>
      <c r="T15" s="41">
        <f>1500/4000</f>
        <v>0.375</v>
      </c>
      <c r="U15" s="35">
        <f>2000/4000</f>
        <v>0.5</v>
      </c>
      <c r="V15" s="35">
        <f>4000/4000</f>
        <v>1</v>
      </c>
      <c r="W15" s="41">
        <f t="shared" ref="W15:W19" si="5">(T15+U15+V15)/3</f>
        <v>0.625</v>
      </c>
      <c r="AA15" s="37" t="s">
        <v>76</v>
      </c>
      <c r="AB15" s="41">
        <f>1333/13333</f>
        <v>9.9977499437485934E-2</v>
      </c>
      <c r="AC15" s="41">
        <f>2500/13333</f>
        <v>0.18750468761719044</v>
      </c>
      <c r="AD15" s="39">
        <f>13333/13333</f>
        <v>1</v>
      </c>
      <c r="AE15" s="35">
        <f>5722/13333</f>
        <v>0.42916072901822544</v>
      </c>
    </row>
    <row r="16" spans="3:33">
      <c r="C16" s="35" t="s">
        <v>124</v>
      </c>
      <c r="D16" s="38">
        <f>1675/1675</f>
        <v>1</v>
      </c>
      <c r="E16" s="43">
        <f>603/1675</f>
        <v>0.36</v>
      </c>
      <c r="F16" s="43">
        <f>528/1675</f>
        <v>0.31522388059701495</v>
      </c>
      <c r="G16" s="41">
        <f>935.333333333333/1675</f>
        <v>0.55840796019900485</v>
      </c>
      <c r="K16" s="37" t="s">
        <v>124</v>
      </c>
      <c r="L16" s="41">
        <f>139612/1491644</f>
        <v>9.3596059113300489E-2</v>
      </c>
      <c r="M16" s="39">
        <f>1491644/1491644</f>
        <v>1</v>
      </c>
      <c r="N16" s="41">
        <f>55680/1491644</f>
        <v>3.7327941519558289E-2</v>
      </c>
      <c r="O16" s="41">
        <f>562312/1491644</f>
        <v>0.3769746668776196</v>
      </c>
      <c r="S16" s="37" t="s">
        <v>80</v>
      </c>
      <c r="T16" s="35">
        <f>2090/2090</f>
        <v>1</v>
      </c>
      <c r="U16" s="41">
        <f>330/2090</f>
        <v>0.15789473684210525</v>
      </c>
      <c r="V16" s="41">
        <f>114/2090</f>
        <v>5.4545454545454543E-2</v>
      </c>
      <c r="W16" s="41">
        <f t="shared" si="5"/>
        <v>0.40414673046251992</v>
      </c>
      <c r="AA16" s="37" t="s">
        <v>80</v>
      </c>
      <c r="AB16" s="39">
        <f>935/935</f>
        <v>1</v>
      </c>
      <c r="AC16" s="41">
        <f>AC6/AB6</f>
        <v>0.91891225561499956</v>
      </c>
      <c r="AD16" s="41">
        <f>AD6/AB6</f>
        <v>0.56332437563176441</v>
      </c>
      <c r="AE16" s="35">
        <f>765/935</f>
        <v>0.81818181818181823</v>
      </c>
    </row>
    <row r="17" spans="3:31">
      <c r="C17" s="35" t="s">
        <v>79</v>
      </c>
      <c r="D17" s="43">
        <f>150/171.428571428571</f>
        <v>0.87500000000000222</v>
      </c>
      <c r="E17" s="38">
        <f>171.428571428571/171.428571428571</f>
        <v>1</v>
      </c>
      <c r="F17" s="43">
        <f>71.9058224626153/171.428571428571</f>
        <v>0.4194506310319237</v>
      </c>
      <c r="G17" s="41">
        <f>131.111464630396/171.428571428571</f>
        <v>0.76481687701064527</v>
      </c>
      <c r="K17" s="37" t="s">
        <v>79</v>
      </c>
      <c r="L17" s="41">
        <f>15.9261294244483/111.756922663701</f>
        <v>0.14250687156421815</v>
      </c>
      <c r="M17" s="39">
        <f>111.756922663701/111.756922663701</f>
        <v>1</v>
      </c>
      <c r="N17" s="41">
        <f>78.2608695652174/111.756922663701</f>
        <v>0.70027759981115489</v>
      </c>
      <c r="O17" s="41">
        <f>68.6479738844555/111.756922663701</f>
        <v>0.61426149045845702</v>
      </c>
      <c r="S17" s="37" t="s">
        <v>79</v>
      </c>
      <c r="T17" s="41">
        <f>97/102</f>
        <v>0.9509803921568627</v>
      </c>
      <c r="U17" s="39">
        <f t="shared" ref="U17:V17" si="6">102/102</f>
        <v>1</v>
      </c>
      <c r="V17" s="35">
        <f t="shared" si="6"/>
        <v>1</v>
      </c>
      <c r="W17" s="41">
        <f t="shared" si="5"/>
        <v>0.98366013071895431</v>
      </c>
      <c r="AA17" s="37" t="s">
        <v>79</v>
      </c>
      <c r="AB17" s="39">
        <f>131/131</f>
        <v>1</v>
      </c>
      <c r="AC17" s="41">
        <f>AC7/AB7</f>
        <v>0.23262441092985875</v>
      </c>
      <c r="AD17" s="41">
        <f>AD7/AB7</f>
        <v>0.15937993124198982</v>
      </c>
      <c r="AE17" s="35">
        <f>100/131</f>
        <v>0.76335877862595425</v>
      </c>
    </row>
    <row r="18" spans="3:31">
      <c r="C18" s="35" t="s">
        <v>84</v>
      </c>
      <c r="D18" s="43">
        <f>244.897959183673/319.432120674357</f>
        <v>0.7666666666666645</v>
      </c>
      <c r="E18" s="38">
        <f>319.432120674357/319.432120674357</f>
        <v>1</v>
      </c>
      <c r="F18" s="43">
        <f>8.04025528416748/319.432120674357</f>
        <v>2.5170465847935395E-2</v>
      </c>
      <c r="G18" s="41">
        <f>190.790111714066/319.432120674357</f>
        <v>0.59727904417153377</v>
      </c>
      <c r="K18" s="37" t="s">
        <v>84</v>
      </c>
      <c r="L18" s="39">
        <v>73</v>
      </c>
      <c r="M18" s="39">
        <v>58</v>
      </c>
      <c r="N18" s="39">
        <v>212.89060040345305</v>
      </c>
      <c r="O18" s="39">
        <v>114.63020013448435</v>
      </c>
      <c r="S18" s="37" t="s">
        <v>84</v>
      </c>
      <c r="T18" s="41">
        <f>107/162</f>
        <v>0.66049382716049387</v>
      </c>
      <c r="U18" s="41">
        <f>114/162</f>
        <v>0.70370370370370372</v>
      </c>
      <c r="V18" s="39">
        <f>162/162</f>
        <v>1</v>
      </c>
      <c r="W18" s="41">
        <f t="shared" si="5"/>
        <v>0.78806584362139931</v>
      </c>
      <c r="AA18" s="37" t="s">
        <v>84</v>
      </c>
      <c r="AB18" s="39">
        <f>191/191</f>
        <v>1</v>
      </c>
      <c r="AC18" s="41">
        <f>AC8/AB8</f>
        <v>0.57006313209788251</v>
      </c>
      <c r="AD18" s="41">
        <f>AD8/AB8</f>
        <v>0.51107762011156188</v>
      </c>
      <c r="AE18" s="35">
        <f>145/191</f>
        <v>0.75916230366492143</v>
      </c>
    </row>
    <row r="19" spans="3:31">
      <c r="C19" s="35" t="s">
        <v>83</v>
      </c>
      <c r="D19" s="43">
        <f>100/216</f>
        <v>0.46296296296296297</v>
      </c>
      <c r="E19" s="38">
        <f>216/216</f>
        <v>1</v>
      </c>
      <c r="F19" s="43">
        <f>204.8/216</f>
        <v>0.94814814814814818</v>
      </c>
      <c r="G19" s="41">
        <f>173.6/216</f>
        <v>0.8037037037037037</v>
      </c>
      <c r="K19" s="37" t="s">
        <v>83</v>
      </c>
      <c r="L19" s="39">
        <v>50.16</v>
      </c>
      <c r="M19" s="39">
        <v>50.019199999999998</v>
      </c>
      <c r="N19" s="39">
        <v>384</v>
      </c>
      <c r="O19" s="39">
        <v>161.39306666666667</v>
      </c>
      <c r="S19" s="37" t="s">
        <v>83</v>
      </c>
      <c r="T19" s="35">
        <f>399/399</f>
        <v>1</v>
      </c>
      <c r="U19" s="41">
        <f t="shared" ref="U19:V19" si="7">210/399</f>
        <v>0.52631578947368418</v>
      </c>
      <c r="V19" s="41">
        <f t="shared" si="7"/>
        <v>0.52631578947368418</v>
      </c>
      <c r="W19" s="41">
        <f t="shared" si="5"/>
        <v>0.68421052631578938</v>
      </c>
      <c r="AA19" s="37" t="s">
        <v>83</v>
      </c>
      <c r="AB19" s="41">
        <f>AB9/AD9</f>
        <v>0.1669610007358352</v>
      </c>
      <c r="AC19" s="41">
        <f>AC9/AD9</f>
        <v>0.27194858351729212</v>
      </c>
      <c r="AD19" s="41">
        <f>976/976</f>
        <v>1</v>
      </c>
      <c r="AE19" s="41">
        <f>474.2/976</f>
        <v>0.48586065573770493</v>
      </c>
    </row>
    <row r="21" spans="3:31" ht="15.75" customHeight="1"/>
    <row r="22" spans="3:31" ht="15.75" customHeight="1"/>
    <row r="23" spans="3:31" ht="15.75" customHeight="1"/>
    <row r="24" spans="3:31" ht="15.75" customHeight="1"/>
    <row r="25" spans="3:31" ht="15.75" customHeight="1"/>
    <row r="26" spans="3:31" ht="15.75" customHeight="1"/>
    <row r="27" spans="3:31" ht="15.75" customHeight="1"/>
    <row r="28" spans="3:31" ht="15.75" customHeight="1"/>
    <row r="29" spans="3:31" ht="15.75" customHeight="1"/>
    <row r="30" spans="3:31" ht="15.75" customHeight="1"/>
    <row r="31" spans="3:31" ht="15.75" customHeight="1"/>
    <row r="32" spans="3:3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C3:G3"/>
    <mergeCell ref="K3:O3"/>
    <mergeCell ref="S3:W3"/>
    <mergeCell ref="AA3:AE3"/>
    <mergeCell ref="C13:G13"/>
    <mergeCell ref="K13:O13"/>
    <mergeCell ref="S13:W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2024-04-23T21:21:02Z</dcterms:created>
  <dcterms:modified xsi:type="dcterms:W3CDTF">2026-01-04T16:05:22Z</dcterms:modified>
</cp:coreProperties>
</file>