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1_Pnom015\"/>
    </mc:Choice>
  </mc:AlternateContent>
  <xr:revisionPtr revIDLastSave="0" documentId="13_ncr:1_{F3F0B66C-5D1C-4516-B3A5-6BD63BF81B5D}" xr6:coauthVersionLast="47" xr6:coauthVersionMax="47" xr10:uidLastSave="{00000000-0000-0000-0000-000000000000}"/>
  <bookViews>
    <workbookView xWindow="-120" yWindow="-120" windowWidth="20730" windowHeight="11160" firstSheet="2" activeTab="4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Q30" i="4" l="1"/>
  <c r="P30" i="4"/>
  <c r="P29" i="4"/>
  <c r="AI19" i="7"/>
  <c r="AJ19" i="7"/>
  <c r="AH19" i="7"/>
  <c r="AI18" i="7"/>
  <c r="AJ18" i="7"/>
  <c r="AH18" i="7"/>
  <c r="AI17" i="7"/>
  <c r="AJ17" i="7"/>
  <c r="AH17" i="7"/>
  <c r="AI16" i="7"/>
  <c r="AJ16" i="7"/>
  <c r="AH16" i="7"/>
  <c r="AI15" i="7"/>
  <c r="AJ15" i="7"/>
  <c r="AH15" i="7"/>
  <c r="AJ5" i="7"/>
  <c r="AJ6" i="7"/>
  <c r="AJ7" i="7"/>
  <c r="AJ8" i="7"/>
  <c r="AJ9" i="7"/>
  <c r="AC19" i="7"/>
  <c r="AD19" i="7"/>
  <c r="AE19" i="7"/>
  <c r="AB19" i="7"/>
  <c r="AC18" i="7"/>
  <c r="AD18" i="7"/>
  <c r="AB18" i="7"/>
  <c r="AC17" i="7"/>
  <c r="AD17" i="7"/>
  <c r="AE17" i="7"/>
  <c r="AB17" i="7"/>
  <c r="AC16" i="7"/>
  <c r="AD16" i="7"/>
  <c r="AE16" i="7"/>
  <c r="AB16" i="7"/>
  <c r="AC15" i="7"/>
  <c r="AD15" i="7"/>
  <c r="AE15" i="7"/>
  <c r="AB15" i="7"/>
  <c r="AE6" i="7"/>
  <c r="AE7" i="7"/>
  <c r="AE8" i="7"/>
  <c r="AE18" i="7" s="1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N9" i="7"/>
  <c r="M9" i="7"/>
  <c r="L9" i="7"/>
  <c r="O9" i="7" s="1"/>
  <c r="O19" i="7" s="1"/>
  <c r="N8" i="7"/>
  <c r="M8" i="7"/>
  <c r="L8" i="7"/>
  <c r="O8" i="7" s="1"/>
  <c r="O18" i="7" s="1"/>
  <c r="N7" i="7"/>
  <c r="N17" i="7" s="1"/>
  <c r="M7" i="7"/>
  <c r="L7" i="7"/>
  <c r="N6" i="7"/>
  <c r="N16" i="7" s="1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N19" i="7"/>
  <c r="O7" i="7"/>
  <c r="O17" i="7" s="1"/>
  <c r="M18" i="7"/>
  <c r="L17" i="7"/>
  <c r="O6" i="7"/>
  <c r="O16" i="7" s="1"/>
  <c r="M17" i="7"/>
  <c r="N18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L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L49" i="6"/>
  <c r="L43" i="6"/>
  <c r="L43" i="4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L32" i="4"/>
  <c r="E50" i="3"/>
  <c r="E48" i="3"/>
  <c r="C22" i="3"/>
  <c r="C20" i="3"/>
  <c r="H24" i="6"/>
  <c r="H9" i="6"/>
  <c r="D46" i="4"/>
  <c r="D47" i="4" s="1"/>
  <c r="D28" i="4"/>
  <c r="D34" i="5"/>
  <c r="D32" i="5"/>
  <c r="M44" i="6" l="1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<sst xmlns="http://schemas.openxmlformats.org/spreadsheetml/2006/main" count="648" uniqueCount="179">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</sst>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0.0000000"/>
    <numFmt numFmtId="168" formatCode="0.0000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09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  <c:pt idx="0">
                  <c:v>0.4291666666666667</c:v>
                </c:pt>
                <c:pt idx="1">
                  <c:v>0.33359662081938429</c:v>
                </c:pt>
                <c:pt idx="2">
                  <c:v>0.38212279811629662</c:v>
                </c:pt>
                <c:pt idx="3">
                  <c:v>0.44179055316397275</c:v>
                </c:pt>
                <c:pt idx="4">
                  <c:v>0.73863699435028241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  <c:pt idx="0">
                  <c:v>0.76666666666666661</c:v>
                </c:pt>
                <c:pt idx="1">
                  <c:v>0.96043403466984267</c:v>
                </c:pt>
                <c:pt idx="2">
                  <c:v>0.72741602697126273</c:v>
                </c:pt>
                <c:pt idx="3">
                  <c:v>0.85406533109231642</c:v>
                </c:pt>
                <c:pt idx="4">
                  <c:v>0.7974576271186441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15" workbookViewId="0">
      <selection activeCell="F28" sqref="F28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4" t="s">
        <v>151</v>
      </c>
      <c r="D5" s="94"/>
      <c r="E5" s="94"/>
      <c r="F5" s="94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H21" s="42"/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H23" s="42"/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7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/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/>
      <c r="H11" s="42"/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/>
      <c r="H12" s="42"/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7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5"/>
  <cols>
    <col min="4" max="4" width="50.8554687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1.02</v>
      </c>
    </row>
    <row r="10" spans="3:8">
      <c r="C10" s="51" t="s">
        <v>161</v>
      </c>
      <c r="D10" s="51" t="s">
        <v>165</v>
      </c>
      <c r="E10" s="51">
        <f>(E4*E8*E9)/(E7*E6*E5)</f>
        <v>2793.7373490767045</v>
      </c>
    </row>
    <row r="11" spans="3:8">
      <c r="C11" s="80" t="s">
        <v>170</v>
      </c>
      <c r="E11" s="78">
        <f>(E8*E9)/(E5*E6*E7)</f>
        <v>1.9016335227272725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2795.4012784090901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703125" defaultRowHeight="15" customHeight="1"/>
  <cols>
    <col min="1" max="1" width="11.42578125" customWidth="1"/>
    <col min="2" max="2" width="58.5703125" customWidth="1"/>
    <col min="3" max="3" width="36.7109375" customWidth="1"/>
    <col min="4" max="4" width="41.140625" customWidth="1"/>
    <col min="5" max="5" width="7" customWidth="1"/>
    <col min="6" max="6" width="58.5703125" customWidth="1"/>
    <col min="7" max="7" width="36.7109375" customWidth="1"/>
    <col min="8" max="11" width="11.42578125" customWidth="1"/>
    <col min="12" max="12" width="16.140625" customWidth="1"/>
    <col min="13" max="26" width="11.42578125" customWidth="1"/>
  </cols>
  <sheetData>
    <row r="1" spans="2:13">
      <c r="B1" s="97" t="s">
        <v>11</v>
      </c>
      <c r="C1" s="98"/>
      <c r="D1" s="98"/>
      <c r="E1" s="98"/>
      <c r="F1" s="98"/>
      <c r="G1" s="99"/>
    </row>
    <row r="2" spans="2:13">
      <c r="B2" s="1" t="s">
        <v>0</v>
      </c>
      <c r="C2" s="2" t="s">
        <v>12</v>
      </c>
      <c r="G2" s="2"/>
    </row>
    <row r="3" spans="2:13">
      <c r="B3" s="100" t="s">
        <v>13</v>
      </c>
      <c r="C3" s="96"/>
      <c r="F3" s="100" t="s">
        <v>14</v>
      </c>
      <c r="G3" s="96"/>
    </row>
    <row r="4" spans="2:13">
      <c r="B4" s="95" t="s">
        <v>1</v>
      </c>
      <c r="C4" s="96"/>
      <c r="F4" s="95" t="s">
        <v>1</v>
      </c>
      <c r="G4" s="96"/>
    </row>
    <row r="5" spans="2:13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>
      <c r="B9" s="95" t="s">
        <v>4</v>
      </c>
      <c r="C9" s="96"/>
      <c r="F9" s="95" t="s">
        <v>4</v>
      </c>
      <c r="G9" s="96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>
      <c r="B15" s="95" t="s">
        <v>7</v>
      </c>
      <c r="C15" s="96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>
      <c r="B19" s="1" t="s">
        <v>21</v>
      </c>
      <c r="C19" s="1">
        <v>10</v>
      </c>
    </row>
    <row r="20" spans="2:13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5" t="s">
        <v>26</v>
      </c>
      <c r="C24" s="96"/>
      <c r="F24" s="95" t="s">
        <v>26</v>
      </c>
      <c r="G24" s="96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7" t="s">
        <v>33</v>
      </c>
      <c r="C35" s="98"/>
      <c r="D35" s="98"/>
      <c r="E35" s="98"/>
      <c r="F35" s="98"/>
      <c r="G35" s="99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7" t="s">
        <v>48</v>
      </c>
      <c r="C51" s="99"/>
      <c r="F51" s="97" t="s">
        <v>49</v>
      </c>
      <c r="G51" s="99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9:C9"/>
    <mergeCell ref="F9:G9"/>
    <mergeCell ref="B1:G1"/>
    <mergeCell ref="B3:C3"/>
    <mergeCell ref="F3:G3"/>
    <mergeCell ref="B4:C4"/>
    <mergeCell ref="F4:G4"/>
    <mergeCell ref="B15:C15"/>
    <mergeCell ref="B24:C24"/>
    <mergeCell ref="F24:G24"/>
    <mergeCell ref="B35:G35"/>
    <mergeCell ref="B51:C51"/>
    <mergeCell ref="F51:G51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abSelected="1" topLeftCell="C30" workbookViewId="0">
      <selection activeCell="D36" sqref="D36:D38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>
      <c r="L6" s="3"/>
      <c r="M6" s="16"/>
      <c r="N6" s="16"/>
      <c r="O6" s="16"/>
      <c r="P6" s="19"/>
    </row>
    <row r="7" spans="3:16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>
      <c r="C12" s="1" t="s">
        <v>86</v>
      </c>
      <c r="D12" s="1">
        <v>100</v>
      </c>
      <c r="F12" s="1" t="s">
        <v>86</v>
      </c>
      <c r="G12" s="1">
        <v>230</v>
      </c>
    </row>
    <row r="13" spans="3:16">
      <c r="C13" s="1" t="s">
        <v>88</v>
      </c>
      <c r="D13" s="1">
        <v>70</v>
      </c>
      <c r="F13" s="1" t="s">
        <v>88</v>
      </c>
      <c r="G13" s="1">
        <v>70</v>
      </c>
    </row>
    <row r="14" spans="3:16">
      <c r="C14" s="1" t="s">
        <v>90</v>
      </c>
      <c r="D14" s="1">
        <v>70</v>
      </c>
      <c r="F14" s="1" t="s">
        <v>90</v>
      </c>
      <c r="G14" s="1">
        <v>70</v>
      </c>
    </row>
    <row r="15" spans="3:16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>
      <c r="C19" s="1" t="s">
        <v>66</v>
      </c>
      <c r="F19" s="1" t="s">
        <v>66</v>
      </c>
      <c r="I19" s="1" t="s">
        <v>66</v>
      </c>
    </row>
    <row r="20" spans="3:10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1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K7" workbookViewId="0">
      <selection activeCell="P31" sqref="P31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>
      <c r="T2" s="16"/>
      <c r="U2" s="17"/>
      <c r="V2" s="17"/>
      <c r="W2" s="17"/>
      <c r="X2" s="18"/>
    </row>
    <row r="3" spans="3:24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>
      <c r="O6" s="16"/>
      <c r="P6" s="21"/>
      <c r="Q6" s="21"/>
      <c r="R6" s="21"/>
      <c r="T6" s="16"/>
      <c r="U6" s="24"/>
      <c r="V6" s="24"/>
      <c r="W6" s="24"/>
      <c r="X6" s="19"/>
    </row>
    <row r="7" spans="3:24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>
      <c r="C9" s="1" t="s">
        <v>81</v>
      </c>
      <c r="D9" s="1">
        <v>1.1000000000000001</v>
      </c>
    </row>
    <row r="10" spans="3:24">
      <c r="C10" s="1" t="s">
        <v>82</v>
      </c>
      <c r="D10" s="1">
        <f>D7*D8</f>
        <v>87.3</v>
      </c>
    </row>
    <row r="11" spans="3:24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1" t="s">
        <v>85</v>
      </c>
      <c r="P11" s="96"/>
    </row>
    <row r="12" spans="3:24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>
      <c r="O16" s="16" t="s">
        <v>95</v>
      </c>
      <c r="P16" s="25">
        <v>33.963000000000001</v>
      </c>
    </row>
    <row r="17" spans="3:17">
      <c r="O17" s="17" t="s">
        <v>96</v>
      </c>
      <c r="P17" s="11">
        <v>33963</v>
      </c>
    </row>
    <row r="18" spans="3:17">
      <c r="O18" s="17" t="s">
        <v>97</v>
      </c>
      <c r="P18" s="11">
        <v>13750</v>
      </c>
    </row>
    <row r="19" spans="3:17">
      <c r="C19" s="1" t="s">
        <v>66</v>
      </c>
      <c r="G19" s="1" t="s">
        <v>66</v>
      </c>
      <c r="K19" s="1" t="s">
        <v>66</v>
      </c>
    </row>
    <row r="20" spans="3:17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0" t="s">
        <v>98</v>
      </c>
      <c r="P20" s="96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2" t="s">
        <v>102</v>
      </c>
      <c r="P24" s="96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3" t="s">
        <v>147</v>
      </c>
      <c r="P28" s="103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C9" workbookViewId="0">
      <selection activeCell="D32" sqref="D32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3"/>
    </row>
    <row r="3" spans="3:24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>
      <c r="K11" s="1" t="s">
        <v>84</v>
      </c>
      <c r="L11" s="1">
        <v>3.6</v>
      </c>
    </row>
    <row r="12" spans="3:24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>
      <c r="C19" s="1" t="s">
        <v>66</v>
      </c>
      <c r="G19" s="1" t="s">
        <v>66</v>
      </c>
      <c r="K19" s="1" t="s">
        <v>66</v>
      </c>
    </row>
    <row r="20" spans="3:12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opLeftCell="X1" zoomScale="120" zoomScaleNormal="120" workbookViewId="0">
      <selection activeCell="AK17" sqref="AK17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2" width="10.5703125" customWidth="1"/>
    <col min="33" max="33" width="20.140625" bestFit="1" customWidth="1"/>
    <col min="34" max="34" width="10.5703125" customWidth="1"/>
  </cols>
  <sheetData>
    <row r="3" spans="3:36">
      <c r="C3" s="104" t="s">
        <v>110</v>
      </c>
      <c r="D3" s="107"/>
      <c r="E3" s="107"/>
      <c r="F3" s="107"/>
      <c r="G3" s="108"/>
      <c r="K3" s="104" t="s">
        <v>65</v>
      </c>
      <c r="L3" s="105"/>
      <c r="M3" s="105"/>
      <c r="N3" s="105"/>
      <c r="O3" s="106"/>
      <c r="S3" s="104" t="s">
        <v>121</v>
      </c>
      <c r="T3" s="105"/>
      <c r="U3" s="105"/>
      <c r="V3" s="105"/>
      <c r="W3" s="106"/>
      <c r="AA3" s="104" t="s">
        <v>137</v>
      </c>
      <c r="AB3" s="105"/>
      <c r="AC3" s="105"/>
      <c r="AD3" s="105"/>
      <c r="AE3" s="106"/>
      <c r="AG3" s="104" t="s">
        <v>137</v>
      </c>
      <c r="AH3" s="105"/>
      <c r="AI3" s="105"/>
      <c r="AJ3" s="106"/>
    </row>
    <row r="4" spans="3:36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74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74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117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117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>
      <c r="C13" s="104" t="s">
        <v>138</v>
      </c>
      <c r="D13" s="105"/>
      <c r="E13" s="105"/>
      <c r="F13" s="105"/>
      <c r="G13" s="106"/>
      <c r="K13" s="104" t="s">
        <v>140</v>
      </c>
      <c r="L13" s="105"/>
      <c r="M13" s="105"/>
      <c r="N13" s="105"/>
      <c r="O13" s="106"/>
      <c r="S13" s="104" t="s">
        <v>139</v>
      </c>
      <c r="T13" s="105"/>
      <c r="U13" s="105"/>
      <c r="V13" s="105"/>
      <c r="W13" s="106"/>
      <c r="AA13" s="104" t="s">
        <v>137</v>
      </c>
      <c r="AB13" s="105"/>
      <c r="AC13" s="105"/>
      <c r="AD13" s="105"/>
      <c r="AE13" s="106"/>
      <c r="AG13" s="104" t="s">
        <v>137</v>
      </c>
      <c r="AH13" s="105"/>
      <c r="AI13" s="105"/>
      <c r="AJ13" s="106"/>
    </row>
    <row r="14" spans="3:36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74</v>
      </c>
      <c r="AB15" s="40">
        <f>AB5/$AD$5</f>
        <v>9.9999999999999992E-2</v>
      </c>
      <c r="AC15" s="40">
        <f t="shared" ref="AC15:AE15" si="8">AC5/$AD$5</f>
        <v>0.1875</v>
      </c>
      <c r="AD15" s="92">
        <f t="shared" si="8"/>
        <v>1</v>
      </c>
      <c r="AE15" s="40">
        <f t="shared" si="8"/>
        <v>0.4291666666666667</v>
      </c>
      <c r="AG15" s="35" t="s">
        <v>74</v>
      </c>
      <c r="AH15" s="40">
        <f>AH5/$AI$5</f>
        <v>0.53333333333333333</v>
      </c>
      <c r="AI15" s="92">
        <f t="shared" ref="AI15:AJ15" si="9">AI5/$AI$5</f>
        <v>1</v>
      </c>
      <c r="AJ15" s="40">
        <f t="shared" si="9"/>
        <v>0.76666666666666661</v>
      </c>
    </row>
    <row r="16" spans="3:36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117</v>
      </c>
      <c r="AB16" s="40">
        <f>AB6/$AD$6</f>
        <v>4.1120078508279995E-4</v>
      </c>
      <c r="AC16" s="40">
        <f t="shared" ref="AC16:AE16" si="13">AC6/$AD$6</f>
        <v>3.7866167307016083E-4</v>
      </c>
      <c r="AD16" s="92">
        <f t="shared" si="13"/>
        <v>1</v>
      </c>
      <c r="AE16" s="40">
        <f t="shared" si="13"/>
        <v>0.33359662081938429</v>
      </c>
      <c r="AG16" s="35" t="s">
        <v>117</v>
      </c>
      <c r="AH16" s="92">
        <f>AH6/$AH$6</f>
        <v>1</v>
      </c>
      <c r="AI16" s="40">
        <f t="shared" ref="AI16:AJ16" si="14">AI6/$AH$6</f>
        <v>0.92086806933968512</v>
      </c>
      <c r="AJ16" s="40">
        <f t="shared" si="14"/>
        <v>0.96043403466984267</v>
      </c>
    </row>
    <row r="17" spans="3:36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E17" si="18">AC7/$AD$7</f>
        <v>0.10060844751958715</v>
      </c>
      <c r="AD17" s="92">
        <f t="shared" si="18"/>
        <v>1</v>
      </c>
      <c r="AE17" s="40">
        <f t="shared" si="18"/>
        <v>0.38212279811629662</v>
      </c>
      <c r="AG17" s="35" t="s">
        <v>118</v>
      </c>
      <c r="AH17" s="40">
        <f>AH7/$AI$7</f>
        <v>0.45483205394252563</v>
      </c>
      <c r="AI17" s="92">
        <f t="shared" ref="AI17:AJ17" si="19">AI7/$AI$7</f>
        <v>1</v>
      </c>
      <c r="AJ17" s="40">
        <f t="shared" si="19"/>
        <v>0.72741602697126273</v>
      </c>
    </row>
    <row r="18" spans="3:36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E18" si="23">AC8/$AD$8</f>
        <v>0.19048405762810935</v>
      </c>
      <c r="AD18" s="92">
        <f t="shared" si="23"/>
        <v>1</v>
      </c>
      <c r="AE18" s="40">
        <f t="shared" si="23"/>
        <v>0.44179055316397275</v>
      </c>
      <c r="AG18" s="35" t="s">
        <v>92</v>
      </c>
      <c r="AH18" s="40">
        <f>AH8/$AI$8</f>
        <v>0.70813066218463283</v>
      </c>
      <c r="AI18" s="92">
        <f t="shared" ref="AI18:AJ18" si="24">AI8/$AI$8</f>
        <v>1</v>
      </c>
      <c r="AJ18" s="40">
        <f t="shared" si="24"/>
        <v>0.85406533109231642</v>
      </c>
    </row>
    <row r="19" spans="3:36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E19" si="28">AC9/$AC$9</f>
        <v>1</v>
      </c>
      <c r="AD19" s="40">
        <f t="shared" si="28"/>
        <v>0.62099572881355936</v>
      </c>
      <c r="AE19" s="40">
        <f t="shared" si="28"/>
        <v>0.73863699435028241</v>
      </c>
      <c r="AG19" s="35" t="s">
        <v>78</v>
      </c>
      <c r="AH19" s="40">
        <f>AH9/$AI$9</f>
        <v>0.59491525423728808</v>
      </c>
      <c r="AI19" s="92">
        <f t="shared" ref="AI19:AJ19" si="29">AI9/$AI$9</f>
        <v>1</v>
      </c>
      <c r="AJ19" s="40">
        <f t="shared" si="29"/>
        <v>0.7974576271186441</v>
      </c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2026-01-12T11:09:00Z</dcterms:modified>
</cp:coreProperties>
</file>