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sar\Documents\Tesis Magister\Tesis_Msc_LSZ\02_Codigo\02_Tugboat\01_codes\"/>
    </mc:Choice>
  </mc:AlternateContent>
  <xr:revisionPtr revIDLastSave="0" documentId="13_ncr:1_{3763C973-2BFE-4701-AE85-575A295BB5D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30 min_1m" sheetId="4" r:id="rId1"/>
    <sheet name="30 min_2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B7NYoo45u4/amyriYxtDfPcdd//nPkQoi5t7+CEUi0="/>
    </ext>
  </extLst>
</workbook>
</file>

<file path=xl/calcChain.xml><?xml version="1.0" encoding="utf-8"?>
<calcChain xmlns="http://schemas.openxmlformats.org/spreadsheetml/2006/main">
  <c r="J24" i="5" l="1"/>
  <c r="S6" i="5"/>
  <c r="Y6" i="5" s="1"/>
  <c r="Y18" i="5"/>
  <c r="Y23" i="5"/>
  <c r="Y22" i="5"/>
  <c r="Y19" i="5"/>
  <c r="Y10" i="5"/>
  <c r="Y7" i="5"/>
  <c r="T7" i="5"/>
  <c r="T8" i="5"/>
  <c r="T9" i="5"/>
  <c r="T10" i="5"/>
  <c r="AL23" i="5"/>
  <c r="AL22" i="5"/>
  <c r="AL19" i="5"/>
  <c r="AL10" i="5"/>
  <c r="AL7" i="5"/>
  <c r="AK4" i="5"/>
  <c r="K4" i="5"/>
  <c r="G5" i="5"/>
  <c r="G31" i="4" l="1"/>
  <c r="G32" i="4"/>
  <c r="G33" i="4"/>
  <c r="AE24" i="5"/>
  <c r="AG24" i="5" s="1"/>
  <c r="AH24" i="5" s="1"/>
  <c r="AE23" i="5"/>
  <c r="AG23" i="5" s="1"/>
  <c r="AH23" i="5" s="1"/>
  <c r="AE22" i="5"/>
  <c r="AE21" i="5"/>
  <c r="AG21" i="5" s="1"/>
  <c r="AH21" i="5" s="1"/>
  <c r="AL20" i="5"/>
  <c r="AE20" i="5"/>
  <c r="AM20" i="5" s="1"/>
  <c r="AE19" i="5"/>
  <c r="AM19" i="5" s="1"/>
  <c r="AE18" i="5"/>
  <c r="AG18" i="5" s="1"/>
  <c r="AH18" i="5" s="1"/>
  <c r="AE17" i="5"/>
  <c r="AG17" i="5" s="1"/>
  <c r="AH17" i="5" s="1"/>
  <c r="AG16" i="5"/>
  <c r="AH16" i="5" s="1"/>
  <c r="AE16" i="5"/>
  <c r="AM16" i="5" s="1"/>
  <c r="AE15" i="5"/>
  <c r="AG15" i="5" s="1"/>
  <c r="AH15" i="5" s="1"/>
  <c r="AE14" i="5"/>
  <c r="AM14" i="5" s="1"/>
  <c r="AE13" i="5"/>
  <c r="AM13" i="5" s="1"/>
  <c r="AE12" i="5"/>
  <c r="AM12" i="5" s="1"/>
  <c r="AE11" i="5"/>
  <c r="AG11" i="5" s="1"/>
  <c r="AH11" i="5" s="1"/>
  <c r="AE10" i="5"/>
  <c r="AM10" i="5" s="1"/>
  <c r="AE9" i="5"/>
  <c r="AG9" i="5" s="1"/>
  <c r="AH9" i="5" s="1"/>
  <c r="AL8" i="5"/>
  <c r="AE8" i="5"/>
  <c r="AG8" i="5" s="1"/>
  <c r="AH8" i="5" s="1"/>
  <c r="AE7" i="5"/>
  <c r="AE6" i="5"/>
  <c r="AG6" i="5" s="1"/>
  <c r="AH6" i="5" s="1"/>
  <c r="AE5" i="5"/>
  <c r="AG5" i="5" s="1"/>
  <c r="AH5" i="5" s="1"/>
  <c r="AE4" i="5"/>
  <c r="AM4" i="5" s="1"/>
  <c r="R24" i="5"/>
  <c r="Z24" i="5" s="1"/>
  <c r="R23" i="5"/>
  <c r="T23" i="5" s="1"/>
  <c r="U23" i="5" s="1"/>
  <c r="R22" i="5"/>
  <c r="T22" i="5" s="1"/>
  <c r="U22" i="5" s="1"/>
  <c r="Y21" i="5"/>
  <c r="R21" i="5"/>
  <c r="T21" i="5" s="1"/>
  <c r="U21" i="5" s="1"/>
  <c r="Y20" i="5"/>
  <c r="R20" i="5"/>
  <c r="Z20" i="5" s="1"/>
  <c r="R19" i="5"/>
  <c r="Z19" i="5" s="1"/>
  <c r="R18" i="5"/>
  <c r="R17" i="5"/>
  <c r="Z17" i="5" s="1"/>
  <c r="Z16" i="5"/>
  <c r="R16" i="5"/>
  <c r="T16" i="5" s="1"/>
  <c r="U16" i="5" s="1"/>
  <c r="R15" i="5"/>
  <c r="T15" i="5" s="1"/>
  <c r="U15" i="5" s="1"/>
  <c r="R14" i="5"/>
  <c r="T14" i="5" s="1"/>
  <c r="U14" i="5" s="1"/>
  <c r="R13" i="5"/>
  <c r="Z13" i="5" s="1"/>
  <c r="R12" i="5"/>
  <c r="Z12" i="5" s="1"/>
  <c r="R11" i="5"/>
  <c r="Z11" i="5" s="1"/>
  <c r="R10" i="5"/>
  <c r="Z10" i="5" s="1"/>
  <c r="Y9" i="5"/>
  <c r="R9" i="5"/>
  <c r="Y8" i="5"/>
  <c r="R8" i="5"/>
  <c r="Z8" i="5" s="1"/>
  <c r="R7" i="5"/>
  <c r="R6" i="5"/>
  <c r="R5" i="5"/>
  <c r="T5" i="5" s="1"/>
  <c r="U5" i="5" s="1"/>
  <c r="X4" i="5"/>
  <c r="R4" i="5"/>
  <c r="Z4" i="5" s="1"/>
  <c r="AG7" i="5" l="1"/>
  <c r="AH7" i="5" s="1"/>
  <c r="AD30" i="5" s="1"/>
  <c r="AM8" i="5"/>
  <c r="AE31" i="5" s="1"/>
  <c r="AM7" i="5"/>
  <c r="Z6" i="5"/>
  <c r="U7" i="5"/>
  <c r="Z22" i="5"/>
  <c r="T24" i="5"/>
  <c r="U24" i="5" s="1"/>
  <c r="AM21" i="5"/>
  <c r="Z7" i="5"/>
  <c r="AM6" i="5"/>
  <c r="AM9" i="5"/>
  <c r="Z5" i="5"/>
  <c r="Z21" i="5"/>
  <c r="Z23" i="5"/>
  <c r="AG12" i="5"/>
  <c r="AH12" i="5" s="1"/>
  <c r="AD29" i="5" s="1"/>
  <c r="AM18" i="5"/>
  <c r="AG22" i="5"/>
  <c r="AH22" i="5" s="1"/>
  <c r="AM23" i="5"/>
  <c r="AM17" i="5"/>
  <c r="AG10" i="5"/>
  <c r="AH10" i="5" s="1"/>
  <c r="AG13" i="5"/>
  <c r="AH13" i="5" s="1"/>
  <c r="AG19" i="5"/>
  <c r="AH19" i="5" s="1"/>
  <c r="AL21" i="5"/>
  <c r="AM22" i="5"/>
  <c r="AM24" i="5"/>
  <c r="AL9" i="5"/>
  <c r="AM11" i="5"/>
  <c r="AG14" i="5"/>
  <c r="AH14" i="5" s="1"/>
  <c r="AM15" i="5"/>
  <c r="AM5" i="5"/>
  <c r="AG4" i="5"/>
  <c r="AH4" i="5" s="1"/>
  <c r="AG20" i="5"/>
  <c r="AH20" i="5" s="1"/>
  <c r="AD31" i="5" s="1"/>
  <c r="T6" i="5"/>
  <c r="U6" i="5" s="1"/>
  <c r="U9" i="5"/>
  <c r="Z9" i="5"/>
  <c r="T11" i="5"/>
  <c r="U11" i="5" s="1"/>
  <c r="T13" i="5"/>
  <c r="U13" i="5" s="1"/>
  <c r="Z14" i="5"/>
  <c r="T18" i="5"/>
  <c r="U18" i="5" s="1"/>
  <c r="Z18" i="5"/>
  <c r="R29" i="5" s="1"/>
  <c r="T20" i="5"/>
  <c r="U20" i="5" s="1"/>
  <c r="U8" i="5"/>
  <c r="Z15" i="5"/>
  <c r="T17" i="5"/>
  <c r="U17" i="5" s="1"/>
  <c r="T4" i="5"/>
  <c r="U4" i="5" s="1"/>
  <c r="U10" i="5"/>
  <c r="T12" i="5"/>
  <c r="U12" i="5" s="1"/>
  <c r="T19" i="5"/>
  <c r="U19" i="5" s="1"/>
  <c r="AH25" i="5" l="1"/>
  <c r="AD32" i="5"/>
  <c r="R30" i="5"/>
  <c r="Q29" i="5"/>
  <c r="Q30" i="5"/>
  <c r="AE29" i="5"/>
  <c r="R31" i="5"/>
  <c r="Q31" i="5"/>
  <c r="AE30" i="5"/>
  <c r="AM25" i="5"/>
  <c r="AI4" i="5"/>
  <c r="AI5" i="5" s="1"/>
  <c r="AI6" i="5" s="1"/>
  <c r="AI7" i="5" s="1"/>
  <c r="AI8" i="5" s="1"/>
  <c r="AI9" i="5" s="1"/>
  <c r="AI10" i="5" s="1"/>
  <c r="AI11" i="5" s="1"/>
  <c r="AI12" i="5" s="1"/>
  <c r="AI13" i="5" s="1"/>
  <c r="AI14" i="5" s="1"/>
  <c r="AI15" i="5" s="1"/>
  <c r="AI16" i="5" s="1"/>
  <c r="AI17" i="5" s="1"/>
  <c r="AI18" i="5" s="1"/>
  <c r="AI19" i="5" s="1"/>
  <c r="AI20" i="5" s="1"/>
  <c r="AI21" i="5" s="1"/>
  <c r="AI22" i="5" s="1"/>
  <c r="AI23" i="5" s="1"/>
  <c r="AI24" i="5" s="1"/>
  <c r="V4" i="5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U25" i="5"/>
  <c r="Z25" i="5"/>
  <c r="R32" i="5" l="1"/>
  <c r="R38" i="5" s="1"/>
  <c r="Q32" i="5"/>
  <c r="Q38" i="5" s="1"/>
  <c r="Q37" i="5"/>
  <c r="AE32" i="5"/>
  <c r="AE37" i="5" s="1"/>
  <c r="R37" i="5"/>
  <c r="AD36" i="5"/>
  <c r="R35" i="5" l="1"/>
  <c r="R36" i="5"/>
  <c r="AD37" i="5"/>
  <c r="AD35" i="5"/>
  <c r="AD38" i="5" s="1"/>
  <c r="Q36" i="5"/>
  <c r="Q35" i="5"/>
  <c r="AE35" i="5"/>
  <c r="AE36" i="5"/>
  <c r="G37" i="4"/>
  <c r="S32" i="4"/>
  <c r="S31" i="4"/>
  <c r="R31" i="4"/>
  <c r="AD31" i="4"/>
  <c r="AD38" i="4"/>
  <c r="AD39" i="4"/>
  <c r="AD37" i="4"/>
  <c r="AC38" i="4"/>
  <c r="AC39" i="4"/>
  <c r="AC37" i="4"/>
  <c r="AC31" i="4"/>
  <c r="AG27" i="4"/>
  <c r="AH27" i="4" s="1"/>
  <c r="AD27" i="4"/>
  <c r="AJ27" i="4" s="1"/>
  <c r="AD26" i="4"/>
  <c r="AG26" i="4" s="1"/>
  <c r="AH26" i="4" s="1"/>
  <c r="AG25" i="4"/>
  <c r="AH25" i="4" s="1"/>
  <c r="AD25" i="4"/>
  <c r="AJ25" i="4" s="1"/>
  <c r="AD24" i="4"/>
  <c r="AG24" i="4" s="1"/>
  <c r="AH24" i="4" s="1"/>
  <c r="AG23" i="4"/>
  <c r="AH23" i="4" s="1"/>
  <c r="AD23" i="4"/>
  <c r="AJ23" i="4" s="1"/>
  <c r="AD22" i="4"/>
  <c r="AG22" i="4" s="1"/>
  <c r="AH22" i="4" s="1"/>
  <c r="AG21" i="4"/>
  <c r="AH21" i="4" s="1"/>
  <c r="AD21" i="4"/>
  <c r="AJ21" i="4" s="1"/>
  <c r="AD20" i="4"/>
  <c r="AG20" i="4" s="1"/>
  <c r="AH20" i="4" s="1"/>
  <c r="AG19" i="4"/>
  <c r="AH19" i="4" s="1"/>
  <c r="AJ19" i="4"/>
  <c r="AD19" i="4"/>
  <c r="AJ18" i="4"/>
  <c r="AF18" i="4"/>
  <c r="AE18" i="4"/>
  <c r="AD18" i="4"/>
  <c r="AG18" i="4" s="1"/>
  <c r="AH18" i="4" s="1"/>
  <c r="AE17" i="4"/>
  <c r="AJ17" i="4" s="1"/>
  <c r="AD17" i="4"/>
  <c r="AF16" i="4"/>
  <c r="AE16" i="4"/>
  <c r="AD16" i="4"/>
  <c r="AG16" i="4" s="1"/>
  <c r="AH16" i="4" s="1"/>
  <c r="AG15" i="4"/>
  <c r="AH15" i="4" s="1"/>
  <c r="AE15" i="4"/>
  <c r="AJ15" i="4" s="1"/>
  <c r="AD33" i="4" s="1"/>
  <c r="AD15" i="4"/>
  <c r="AJ14" i="4"/>
  <c r="AF14" i="4"/>
  <c r="AE14" i="4"/>
  <c r="AD14" i="4"/>
  <c r="AG14" i="4" s="1"/>
  <c r="AH14" i="4" s="1"/>
  <c r="AE13" i="4"/>
  <c r="AJ13" i="4" s="1"/>
  <c r="AD13" i="4"/>
  <c r="AJ12" i="4"/>
  <c r="AD12" i="4"/>
  <c r="AG12" i="4" s="1"/>
  <c r="AH12" i="4" s="1"/>
  <c r="AG11" i="4"/>
  <c r="AH11" i="4" s="1"/>
  <c r="AJ11" i="4"/>
  <c r="AD11" i="4"/>
  <c r="AD10" i="4"/>
  <c r="AG10" i="4" s="1"/>
  <c r="AH10" i="4" s="1"/>
  <c r="AG9" i="4"/>
  <c r="AH9" i="4" s="1"/>
  <c r="AD9" i="4"/>
  <c r="AJ9" i="4" s="1"/>
  <c r="AD8" i="4"/>
  <c r="AG8" i="4" s="1"/>
  <c r="AH8" i="4" s="1"/>
  <c r="AD7" i="4"/>
  <c r="AG7" i="4" s="1"/>
  <c r="AH7" i="4" s="1"/>
  <c r="S38" i="4"/>
  <c r="S39" i="4"/>
  <c r="S37" i="4"/>
  <c r="R38" i="4"/>
  <c r="R39" i="4"/>
  <c r="R40" i="4" s="1"/>
  <c r="R37" i="4"/>
  <c r="S40" i="4"/>
  <c r="S33" i="4"/>
  <c r="R33" i="4"/>
  <c r="R32" i="4"/>
  <c r="V27" i="4"/>
  <c r="W27" i="4" s="1"/>
  <c r="S27" i="4"/>
  <c r="Y27" i="4" s="1"/>
  <c r="Y26" i="4"/>
  <c r="S26" i="4"/>
  <c r="V26" i="4" s="1"/>
  <c r="W26" i="4" s="1"/>
  <c r="V25" i="4"/>
  <c r="W25" i="4" s="1"/>
  <c r="S25" i="4"/>
  <c r="Y25" i="4" s="1"/>
  <c r="Y24" i="4"/>
  <c r="V24" i="4"/>
  <c r="W24" i="4" s="1"/>
  <c r="S24" i="4"/>
  <c r="Y23" i="4"/>
  <c r="S23" i="4"/>
  <c r="V23" i="4" s="1"/>
  <c r="W23" i="4" s="1"/>
  <c r="Y22" i="4"/>
  <c r="S22" i="4"/>
  <c r="V22" i="4" s="1"/>
  <c r="W22" i="4" s="1"/>
  <c r="Y21" i="4"/>
  <c r="V21" i="4"/>
  <c r="W21" i="4" s="1"/>
  <c r="S21" i="4"/>
  <c r="Y20" i="4"/>
  <c r="U20" i="4"/>
  <c r="T20" i="4"/>
  <c r="V20" i="4" s="1"/>
  <c r="W20" i="4" s="1"/>
  <c r="S20" i="4"/>
  <c r="T19" i="4"/>
  <c r="Y19" i="4" s="1"/>
  <c r="S19" i="4"/>
  <c r="V19" i="4" s="1"/>
  <c r="W19" i="4" s="1"/>
  <c r="T18" i="4"/>
  <c r="Y18" i="4" s="1"/>
  <c r="S18" i="4"/>
  <c r="V18" i="4" s="1"/>
  <c r="W18" i="4" s="1"/>
  <c r="Y17" i="4"/>
  <c r="V17" i="4"/>
  <c r="W17" i="4" s="1"/>
  <c r="U17" i="4"/>
  <c r="T17" i="4"/>
  <c r="S17" i="4"/>
  <c r="Y16" i="4"/>
  <c r="U16" i="4"/>
  <c r="T16" i="4"/>
  <c r="S16" i="4"/>
  <c r="V16" i="4" s="1"/>
  <c r="W16" i="4" s="1"/>
  <c r="T15" i="4"/>
  <c r="Y15" i="4" s="1"/>
  <c r="S15" i="4"/>
  <c r="V15" i="4" s="1"/>
  <c r="W15" i="4" s="1"/>
  <c r="T14" i="4"/>
  <c r="Y14" i="4" s="1"/>
  <c r="S14" i="4"/>
  <c r="V14" i="4" s="1"/>
  <c r="W14" i="4" s="1"/>
  <c r="Y13" i="4"/>
  <c r="V13" i="4"/>
  <c r="W13" i="4" s="1"/>
  <c r="U13" i="4"/>
  <c r="T13" i="4"/>
  <c r="S13" i="4"/>
  <c r="Y12" i="4"/>
  <c r="U12" i="4"/>
  <c r="T12" i="4"/>
  <c r="S12" i="4"/>
  <c r="V12" i="4" s="1"/>
  <c r="W12" i="4" s="1"/>
  <c r="T11" i="4"/>
  <c r="Y11" i="4" s="1"/>
  <c r="S11" i="4"/>
  <c r="V11" i="4" s="1"/>
  <c r="W11" i="4" s="1"/>
  <c r="Y10" i="4"/>
  <c r="S10" i="4"/>
  <c r="V10" i="4" s="1"/>
  <c r="W10" i="4" s="1"/>
  <c r="Y9" i="4"/>
  <c r="V9" i="4"/>
  <c r="W9" i="4" s="1"/>
  <c r="S9" i="4"/>
  <c r="S8" i="4"/>
  <c r="Y8" i="4" s="1"/>
  <c r="V7" i="4"/>
  <c r="W7" i="4" s="1"/>
  <c r="X7" i="4" s="1"/>
  <c r="S7" i="4"/>
  <c r="Y7" i="4" s="1"/>
  <c r="B7" i="4"/>
  <c r="G21" i="5"/>
  <c r="G22" i="5"/>
  <c r="G23" i="5"/>
  <c r="H23" i="5" s="1"/>
  <c r="I23" i="5" s="1"/>
  <c r="G9" i="5"/>
  <c r="G7" i="5"/>
  <c r="G18" i="5"/>
  <c r="M18" i="5" s="1"/>
  <c r="G6" i="5"/>
  <c r="M6" i="5" s="1"/>
  <c r="I15" i="4"/>
  <c r="C7" i="4"/>
  <c r="I17" i="4"/>
  <c r="I16" i="4"/>
  <c r="I14" i="4"/>
  <c r="I18" i="4"/>
  <c r="I13" i="4"/>
  <c r="I12" i="4"/>
  <c r="I11" i="4"/>
  <c r="I20" i="4"/>
  <c r="I19" i="4"/>
  <c r="I22" i="4"/>
  <c r="I21" i="4"/>
  <c r="I24" i="4"/>
  <c r="I23" i="4"/>
  <c r="I26" i="4"/>
  <c r="I25" i="4"/>
  <c r="I10" i="4"/>
  <c r="I9" i="4"/>
  <c r="N9" i="4" s="1"/>
  <c r="F5" i="5"/>
  <c r="H5" i="5" s="1"/>
  <c r="I5" i="5" s="1"/>
  <c r="F6" i="5"/>
  <c r="F7" i="5"/>
  <c r="M7" i="5" s="1"/>
  <c r="F8" i="5"/>
  <c r="F9" i="5"/>
  <c r="H9" i="5" s="1"/>
  <c r="I9" i="5" s="1"/>
  <c r="F10" i="5"/>
  <c r="M10" i="5" s="1"/>
  <c r="F11" i="5"/>
  <c r="H11" i="5" s="1"/>
  <c r="I11" i="5" s="1"/>
  <c r="F12" i="5"/>
  <c r="H12" i="5" s="1"/>
  <c r="I12" i="5" s="1"/>
  <c r="F13" i="5"/>
  <c r="F14" i="5"/>
  <c r="H14" i="5" s="1"/>
  <c r="I14" i="5" s="1"/>
  <c r="F15" i="5"/>
  <c r="F16" i="5"/>
  <c r="H16" i="5" s="1"/>
  <c r="I16" i="5" s="1"/>
  <c r="F17" i="5"/>
  <c r="H17" i="5" s="1"/>
  <c r="I17" i="5" s="1"/>
  <c r="F18" i="5"/>
  <c r="F19" i="5"/>
  <c r="M19" i="5" s="1"/>
  <c r="F20" i="5"/>
  <c r="H20" i="5" s="1"/>
  <c r="I20" i="5" s="1"/>
  <c r="F21" i="5"/>
  <c r="M21" i="5" s="1"/>
  <c r="F22" i="5"/>
  <c r="F23" i="5"/>
  <c r="F24" i="5"/>
  <c r="H24" i="5" s="1"/>
  <c r="I24" i="5" s="1"/>
  <c r="F4" i="5"/>
  <c r="H4" i="5" s="1"/>
  <c r="I4" i="5" s="1"/>
  <c r="H8" i="4"/>
  <c r="H9" i="4"/>
  <c r="H10" i="4"/>
  <c r="H11" i="4"/>
  <c r="H12" i="4"/>
  <c r="H13" i="4"/>
  <c r="H14" i="4"/>
  <c r="H15" i="4"/>
  <c r="H16" i="4"/>
  <c r="H17" i="4"/>
  <c r="H18" i="4"/>
  <c r="N18" i="4" s="1"/>
  <c r="H19" i="4"/>
  <c r="H20" i="4"/>
  <c r="H21" i="4"/>
  <c r="H22" i="4"/>
  <c r="K22" i="4" s="1"/>
  <c r="H23" i="4"/>
  <c r="H24" i="4"/>
  <c r="H25" i="4"/>
  <c r="H26" i="4"/>
  <c r="K26" i="4" s="1"/>
  <c r="H27" i="4"/>
  <c r="H7" i="4"/>
  <c r="L20" i="5"/>
  <c r="M12" i="5"/>
  <c r="M11" i="5"/>
  <c r="L10" i="5"/>
  <c r="H10" i="5"/>
  <c r="I10" i="5" s="1"/>
  <c r="L8" i="5"/>
  <c r="H8" i="5"/>
  <c r="I8" i="5" s="1"/>
  <c r="H7" i="5"/>
  <c r="I7" i="5" s="1"/>
  <c r="M24" i="5" l="1"/>
  <c r="H21" i="5"/>
  <c r="I21" i="5" s="1"/>
  <c r="E31" i="5" s="1"/>
  <c r="H19" i="5"/>
  <c r="I19" i="5" s="1"/>
  <c r="M22" i="5"/>
  <c r="M9" i="5"/>
  <c r="M14" i="5"/>
  <c r="M17" i="5"/>
  <c r="M5" i="5"/>
  <c r="AE38" i="5"/>
  <c r="AC33" i="4"/>
  <c r="AI7" i="4"/>
  <c r="AI8" i="4"/>
  <c r="AI9" i="4"/>
  <c r="AI10" i="4" s="1"/>
  <c r="AI11" i="4" s="1"/>
  <c r="AI12" i="4" s="1"/>
  <c r="AJ10" i="4"/>
  <c r="AJ22" i="4"/>
  <c r="AJ7" i="4"/>
  <c r="AF13" i="4"/>
  <c r="AJ8" i="4"/>
  <c r="AG13" i="4"/>
  <c r="AH13" i="4" s="1"/>
  <c r="AJ16" i="4"/>
  <c r="AD32" i="4" s="1"/>
  <c r="AG17" i="4"/>
  <c r="AH17" i="4" s="1"/>
  <c r="AJ20" i="4"/>
  <c r="AJ24" i="4"/>
  <c r="AJ26" i="4"/>
  <c r="AF15" i="4"/>
  <c r="AF17" i="4"/>
  <c r="V8" i="4"/>
  <c r="W8" i="4" s="1"/>
  <c r="U11" i="4"/>
  <c r="U15" i="4"/>
  <c r="U19" i="4"/>
  <c r="U14" i="4"/>
  <c r="U18" i="4"/>
  <c r="J10" i="4"/>
  <c r="J15" i="4"/>
  <c r="K7" i="4"/>
  <c r="L7" i="4" s="1"/>
  <c r="K17" i="4"/>
  <c r="L17" i="4" s="1"/>
  <c r="K13" i="4"/>
  <c r="L13" i="4" s="1"/>
  <c r="K9" i="4"/>
  <c r="L9" i="4" s="1"/>
  <c r="K24" i="4"/>
  <c r="K20" i="4"/>
  <c r="L20" i="4" s="1"/>
  <c r="K8" i="4"/>
  <c r="L8" i="4" s="1"/>
  <c r="K25" i="4"/>
  <c r="K27" i="4"/>
  <c r="K15" i="4"/>
  <c r="L15" i="4" s="1"/>
  <c r="K11" i="4"/>
  <c r="L11" i="4" s="1"/>
  <c r="J12" i="4"/>
  <c r="K18" i="4"/>
  <c r="L18" i="4" s="1"/>
  <c r="K21" i="4"/>
  <c r="L21" i="4" s="1"/>
  <c r="K14" i="4"/>
  <c r="L14" i="4" s="1"/>
  <c r="K10" i="4"/>
  <c r="L10" i="4" s="1"/>
  <c r="L22" i="4"/>
  <c r="K16" i="4"/>
  <c r="L16" i="4" s="1"/>
  <c r="K12" i="4"/>
  <c r="L12" i="4" s="1"/>
  <c r="J9" i="4"/>
  <c r="M7" i="4"/>
  <c r="K23" i="4"/>
  <c r="K19" i="4"/>
  <c r="L19" i="4" s="1"/>
  <c r="N22" i="4"/>
  <c r="L27" i="4"/>
  <c r="M23" i="5"/>
  <c r="F30" i="5" s="1"/>
  <c r="N15" i="4"/>
  <c r="H33" i="4" s="1"/>
  <c r="N17" i="4"/>
  <c r="N13" i="4"/>
  <c r="M8" i="5"/>
  <c r="M16" i="5"/>
  <c r="M20" i="5"/>
  <c r="M4" i="5"/>
  <c r="N14" i="4"/>
  <c r="J14" i="4"/>
  <c r="N7" i="4"/>
  <c r="N27" i="4"/>
  <c r="L24" i="4"/>
  <c r="N23" i="4"/>
  <c r="N19" i="4"/>
  <c r="N12" i="4"/>
  <c r="N10" i="4"/>
  <c r="N8" i="4"/>
  <c r="J4" i="5"/>
  <c r="J5" i="5" s="1"/>
  <c r="N21" i="4"/>
  <c r="J21" i="4"/>
  <c r="N25" i="4"/>
  <c r="L25" i="4"/>
  <c r="J25" i="4"/>
  <c r="N16" i="4"/>
  <c r="N26" i="4"/>
  <c r="L26" i="4"/>
  <c r="H13" i="5"/>
  <c r="I13" i="5" s="1"/>
  <c r="M13" i="5"/>
  <c r="N11" i="4"/>
  <c r="N24" i="4"/>
  <c r="L23" i="5"/>
  <c r="L19" i="5"/>
  <c r="L9" i="5"/>
  <c r="L5" i="5"/>
  <c r="L21" i="5"/>
  <c r="L17" i="5"/>
  <c r="L11" i="5"/>
  <c r="L7" i="5"/>
  <c r="L22" i="5"/>
  <c r="L12" i="5"/>
  <c r="L18" i="5"/>
  <c r="L6" i="5"/>
  <c r="H15" i="5"/>
  <c r="I15" i="5" s="1"/>
  <c r="M15" i="5"/>
  <c r="L16" i="5"/>
  <c r="J17" i="4"/>
  <c r="N20" i="4"/>
  <c r="H22" i="5"/>
  <c r="I22" i="5" s="1"/>
  <c r="J24" i="4"/>
  <c r="J22" i="4"/>
  <c r="J20" i="4"/>
  <c r="J18" i="4"/>
  <c r="J16" i="4"/>
  <c r="J11" i="4"/>
  <c r="J13" i="4"/>
  <c r="J26" i="4"/>
  <c r="J19" i="4"/>
  <c r="J23" i="4"/>
  <c r="L23" i="4"/>
  <c r="H6" i="5"/>
  <c r="I6" i="5" s="1"/>
  <c r="E29" i="5" s="1"/>
  <c r="H18" i="5"/>
  <c r="I18" i="5" s="1"/>
  <c r="E30" i="5" l="1"/>
  <c r="F31" i="5"/>
  <c r="E32" i="5"/>
  <c r="E37" i="5" s="1"/>
  <c r="F29" i="5"/>
  <c r="AC32" i="4"/>
  <c r="AI13" i="4"/>
  <c r="AI14" i="4" s="1"/>
  <c r="AI15" i="4" s="1"/>
  <c r="AI16" i="4" s="1"/>
  <c r="AI17" i="4" s="1"/>
  <c r="AI18" i="4" s="1"/>
  <c r="AI19" i="4" s="1"/>
  <c r="AI20" i="4" s="1"/>
  <c r="AI21" i="4" s="1"/>
  <c r="AI22" i="4" s="1"/>
  <c r="AI23" i="4" s="1"/>
  <c r="AI24" i="4" s="1"/>
  <c r="AI25" i="4" s="1"/>
  <c r="AI26" i="4" s="1"/>
  <c r="AI27" i="4" s="1"/>
  <c r="S34" i="4"/>
  <c r="X8" i="4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M8" i="4"/>
  <c r="M9" i="4" s="1"/>
  <c r="M25" i="5"/>
  <c r="H32" i="4"/>
  <c r="H31" i="4"/>
  <c r="M10" i="4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I25" i="5"/>
  <c r="J6" i="5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E35" i="5" l="1"/>
  <c r="E36" i="5"/>
  <c r="F32" i="5"/>
  <c r="AC34" i="4"/>
  <c r="AC40" i="4"/>
  <c r="AD34" i="4"/>
  <c r="AD40" i="4"/>
  <c r="R34" i="4"/>
  <c r="H34" i="4"/>
  <c r="H39" i="4" s="1"/>
  <c r="G34" i="4"/>
  <c r="E38" i="5" l="1"/>
  <c r="F36" i="5"/>
  <c r="F37" i="5"/>
  <c r="F35" i="5"/>
  <c r="F38" i="5" s="1"/>
  <c r="H38" i="4"/>
  <c r="H37" i="4"/>
  <c r="H40" i="4"/>
  <c r="G38" i="4"/>
  <c r="G39" i="4"/>
  <c r="G4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6" authorId="0" shapeId="0" xr:uid="{2A1AC84E-20EF-4573-A3C3-2D671956E63F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 propulsivo, o sea, se suma el sfc de cada motor.</t>
        </r>
      </text>
    </comment>
    <comment ref="H6" authorId="0" shapeId="0" xr:uid="{22344900-588F-413B-B2A8-531B1E84867A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Potencia de ambos motores diesel.</t>
        </r>
      </text>
    </comment>
    <comment ref="I6" authorId="0" shapeId="0" xr:uid="{D8B8D918-F132-469F-B170-BFA4C9C64DF1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de ambos motores diesel</t>
        </r>
      </text>
    </comment>
    <comment ref="S6" authorId="0" shapeId="0" xr:uid="{E9A6D24C-FBEC-4440-ACE1-70FF6A41065B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Potencia de ambos motores diesel.</t>
        </r>
      </text>
    </comment>
    <comment ref="T6" authorId="0" shapeId="0" xr:uid="{A860D2B5-B83E-446D-97B0-9DE17F302A1E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de ambos motores diesel</t>
        </r>
      </text>
    </comment>
    <comment ref="AD6" authorId="0" shapeId="0" xr:uid="{75F9F809-7429-4AE7-A5DC-21ABEBF8DC67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Potencia de ambos motores diesel.</t>
        </r>
      </text>
    </comment>
    <comment ref="AE6" authorId="0" shapeId="0" xr:uid="{075B2B78-76C9-466E-9A23-A95EBD9E6457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de ambos motores diesel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G3" authorId="0" shapeId="0" xr:uid="{F3E13823-0D1A-4832-9B66-8B6DAEEC1C1D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corresponde a la suma de ambos motores.</t>
        </r>
      </text>
    </comment>
    <comment ref="K3" authorId="0" shapeId="0" xr:uid="{85D8D23D-BDF0-49DC-9E90-2F4C739C703C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sistema de propulsión, por lo tanto, corresponde a la suma de los dos motores.</t>
        </r>
      </text>
    </comment>
    <comment ref="S3" authorId="0" shapeId="0" xr:uid="{470D6B3C-A91A-4302-92B5-D5F3AAFAAA77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corresponde a la suma de ambos motores.</t>
        </r>
      </text>
    </comment>
    <comment ref="X3" authorId="0" shapeId="0" xr:uid="{7C3B5E1C-2F78-4370-A8FA-AFEEB290FA99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sistema de propulsión, por lo tanto, corresponde a la suma de los dos motores.</t>
        </r>
      </text>
    </comment>
    <comment ref="AF3" authorId="0" shapeId="0" xr:uid="{28F44A66-5C62-4912-9C5F-67C966DD7CDC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corresponde a la suma de ambos motores.</t>
        </r>
      </text>
    </comment>
    <comment ref="AK3" authorId="0" shapeId="0" xr:uid="{734FF8D2-D656-45FF-8944-5FD6270A1739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sistema de propulsión, por lo tanto, corresponde a la suma de los dos motores.</t>
        </r>
      </text>
    </comment>
  </commentList>
</comments>
</file>

<file path=xl/sharedStrings.xml><?xml version="1.0" encoding="utf-8"?>
<sst xmlns="http://schemas.openxmlformats.org/spreadsheetml/2006/main" count="147" uniqueCount="34">
  <si>
    <t>Densidad [kg/m3]</t>
  </si>
  <si>
    <t>Densidad [g/m3]</t>
  </si>
  <si>
    <t>Use Time</t>
  </si>
  <si>
    <t>sfc_min</t>
  </si>
  <si>
    <t xml:space="preserve">Time </t>
  </si>
  <si>
    <t>Pot [kW]</t>
  </si>
  <si>
    <t>Pot_nom</t>
  </si>
  <si>
    <t>sfc</t>
  </si>
  <si>
    <t>eff_sfc_rel</t>
  </si>
  <si>
    <t>fuel [m3/h]</t>
  </si>
  <si>
    <t>Emiss</t>
  </si>
  <si>
    <t>eff_sfc_max</t>
  </si>
  <si>
    <t>Emis</t>
  </si>
  <si>
    <t>fuel [L/h]</t>
  </si>
  <si>
    <t>fuel acc [L]</t>
  </si>
  <si>
    <t>Pot_acc [kW]</t>
  </si>
  <si>
    <t>Fuel [L]</t>
  </si>
  <si>
    <t xml:space="preserve">Emiss </t>
  </si>
  <si>
    <t>Pot [%]</t>
  </si>
  <si>
    <t>Pot acc[kW]</t>
  </si>
  <si>
    <t>Fuel (%)</t>
  </si>
  <si>
    <t>0-1000</t>
  </si>
  <si>
    <t>1000-2000</t>
  </si>
  <si>
    <t>2000-3650</t>
  </si>
  <si>
    <t>0kW-1000kW</t>
  </si>
  <si>
    <t>1000kW-2000kW</t>
  </si>
  <si>
    <t>2000kW-3650kW</t>
  </si>
  <si>
    <t>0% Pnom Batt Bank</t>
  </si>
  <si>
    <t>15% Pnom Batt Bank</t>
  </si>
  <si>
    <t>25% Pnom Batt Bank</t>
  </si>
  <si>
    <t>0-1000kW</t>
  </si>
  <si>
    <t>Emiss (%)</t>
  </si>
  <si>
    <t>Fuel (L)</t>
  </si>
  <si>
    <t>sfc_min_gen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</si>
</sst>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1" fontId="5" fillId="0" borderId="0" xfId="0" applyNumberFormat="1" applyFont="1"/>
    <xf numFmtId="9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1" fontId="6" fillId="0" borderId="0" xfId="0" applyNumberFormat="1" applyFont="1"/>
    <xf numFmtId="9" fontId="4" fillId="0" borderId="0" xfId="0" applyNumberFormat="1" applyFont="1"/>
    <xf numFmtId="0" fontId="4" fillId="2" borderId="0" xfId="0" applyFont="1" applyFill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1" fillId="4" borderId="0" xfId="0" applyFont="1" applyFill="1"/>
    <xf numFmtId="0" fontId="2" fillId="2" borderId="0" xfId="0" applyFont="1" applyFill="1"/>
    <xf numFmtId="9" fontId="5" fillId="0" borderId="0" xfId="1" applyFont="1"/>
    <xf numFmtId="0" fontId="5" fillId="0" borderId="0" xfId="1" applyNumberFormat="1" applyFont="1"/>
    <xf numFmtId="0" fontId="4" fillId="0" borderId="0" xfId="1" applyNumberFormat="1" applyFont="1"/>
    <xf numFmtId="0" fontId="10" fillId="4" borderId="0" xfId="0" applyFont="1" applyFill="1"/>
    <xf numFmtId="9" fontId="6" fillId="0" borderId="0" xfId="1" applyFont="1"/>
    <xf numFmtId="0" fontId="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topLeftCell="A25" workbookViewId="0">
      <selection activeCell="M9" sqref="M9"/>
    </sheetView>
  </sheetViews>
  <sheetFormatPr baseColWidth="10" defaultColWidth="12.54296875" defaultRowHeight="15" customHeight="1" x14ac:dyDescent="0.35"/>
  <cols>
    <col min="1" max="1" width="16.54296875" customWidth="1"/>
    <col min="2" max="4" width="15.453125" customWidth="1"/>
    <col min="5" max="5" width="10.54296875" customWidth="1"/>
    <col min="6" max="7" width="16.54296875" customWidth="1"/>
    <col min="8" max="10" width="10.54296875" customWidth="1"/>
    <col min="11" max="13" width="15.453125" customWidth="1"/>
    <col min="14" max="15" width="10.54296875" customWidth="1"/>
    <col min="16" max="16" width="12.1796875" customWidth="1"/>
    <col min="17" max="17" width="12.1796875" bestFit="1" customWidth="1"/>
    <col min="18" max="18" width="8.1796875" bestFit="1" customWidth="1"/>
    <col min="19" max="19" width="12" bestFit="1" customWidth="1"/>
    <col min="20" max="20" width="6" bestFit="1" customWidth="1"/>
    <col min="21" max="25" width="12" bestFit="1" customWidth="1"/>
    <col min="26" max="27" width="10.54296875" customWidth="1"/>
    <col min="28" max="28" width="12.1796875" bestFit="1" customWidth="1"/>
    <col min="29" max="35" width="10.54296875" customWidth="1"/>
  </cols>
  <sheetData>
    <row r="1" spans="1:36" ht="15" customHeight="1" x14ac:dyDescent="0.35">
      <c r="B1" s="10" t="s">
        <v>24</v>
      </c>
    </row>
    <row r="2" spans="1:36" ht="15" customHeight="1" x14ac:dyDescent="0.35">
      <c r="B2" s="11" t="s">
        <v>25</v>
      </c>
    </row>
    <row r="3" spans="1:36" ht="15" customHeight="1" x14ac:dyDescent="0.35">
      <c r="B3" s="12" t="s">
        <v>26</v>
      </c>
    </row>
    <row r="5" spans="1:36" ht="15" customHeight="1" x14ac:dyDescent="0.35">
      <c r="F5" s="22" t="s">
        <v>27</v>
      </c>
      <c r="G5" s="22"/>
      <c r="H5" s="22"/>
      <c r="I5" s="22"/>
      <c r="J5" s="22"/>
      <c r="K5" s="22"/>
      <c r="L5" s="22"/>
      <c r="M5" s="22"/>
      <c r="N5" s="22"/>
      <c r="Q5" s="23" t="s">
        <v>28</v>
      </c>
      <c r="R5" s="23"/>
      <c r="S5" s="23"/>
      <c r="T5" s="23"/>
      <c r="U5" s="23"/>
      <c r="V5" s="23"/>
      <c r="W5" s="23"/>
      <c r="X5" s="23"/>
      <c r="Y5" s="23"/>
      <c r="AB5" s="24" t="s">
        <v>29</v>
      </c>
      <c r="AC5" s="23"/>
      <c r="AD5" s="23"/>
      <c r="AE5" s="23"/>
      <c r="AF5" s="23"/>
      <c r="AG5" s="23"/>
      <c r="AH5" s="23"/>
      <c r="AI5" s="23"/>
      <c r="AJ5" s="23"/>
    </row>
    <row r="6" spans="1:36" ht="14.5" x14ac:dyDescent="0.35">
      <c r="A6" s="1" t="s">
        <v>0</v>
      </c>
      <c r="B6" s="1" t="s">
        <v>1</v>
      </c>
      <c r="C6" s="1" t="s">
        <v>3</v>
      </c>
      <c r="D6" s="1" t="s">
        <v>11</v>
      </c>
      <c r="E6" s="1" t="s">
        <v>2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13</v>
      </c>
      <c r="M6" s="1" t="s">
        <v>14</v>
      </c>
      <c r="N6" s="1" t="s">
        <v>12</v>
      </c>
      <c r="Q6" s="1" t="s">
        <v>4</v>
      </c>
      <c r="R6" s="1" t="s">
        <v>5</v>
      </c>
      <c r="S6" s="1" t="s">
        <v>6</v>
      </c>
      <c r="T6" s="1" t="s">
        <v>7</v>
      </c>
      <c r="U6" s="1" t="s">
        <v>8</v>
      </c>
      <c r="V6" s="1" t="s">
        <v>9</v>
      </c>
      <c r="W6" s="1" t="s">
        <v>13</v>
      </c>
      <c r="X6" s="1" t="s">
        <v>14</v>
      </c>
      <c r="Y6" s="1" t="s">
        <v>12</v>
      </c>
      <c r="AB6" s="1" t="s">
        <v>4</v>
      </c>
      <c r="AC6" s="1" t="s">
        <v>5</v>
      </c>
      <c r="AD6" s="1" t="s">
        <v>6</v>
      </c>
      <c r="AE6" s="1" t="s">
        <v>7</v>
      </c>
      <c r="AF6" s="1" t="s">
        <v>8</v>
      </c>
      <c r="AG6" s="1" t="s">
        <v>9</v>
      </c>
      <c r="AH6" s="1" t="s">
        <v>13</v>
      </c>
      <c r="AI6" s="1" t="s">
        <v>14</v>
      </c>
      <c r="AJ6" s="1" t="s">
        <v>12</v>
      </c>
    </row>
    <row r="7" spans="1:36" ht="14.5" x14ac:dyDescent="0.35">
      <c r="A7" s="1">
        <v>832.5</v>
      </c>
      <c r="B7" s="1">
        <f>A7*1000</f>
        <v>832500</v>
      </c>
      <c r="C7" s="1">
        <f>2*217.575</f>
        <v>435.15</v>
      </c>
      <c r="D7" s="1">
        <v>1</v>
      </c>
      <c r="E7" s="1">
        <v>0.5</v>
      </c>
      <c r="F7" s="1">
        <v>8</v>
      </c>
      <c r="G7" s="1">
        <v>0</v>
      </c>
      <c r="H7" s="1">
        <f>2*1825*G7</f>
        <v>0</v>
      </c>
      <c r="I7" s="9">
        <v>0</v>
      </c>
      <c r="J7" s="1">
        <v>0</v>
      </c>
      <c r="K7" s="1">
        <f t="shared" ref="K7:K27" si="0">(H7*I7)/$B$7</f>
        <v>0</v>
      </c>
      <c r="L7" s="1">
        <f t="shared" ref="L7:L27" si="1">K7*1000</f>
        <v>0</v>
      </c>
      <c r="M7" s="1">
        <f>L7*E7</f>
        <v>0</v>
      </c>
      <c r="N7" s="1">
        <f t="shared" ref="N7:N27" si="2">(I7*H7*0.5*3.207)/1000000</f>
        <v>0</v>
      </c>
      <c r="Q7" s="1">
        <v>8</v>
      </c>
      <c r="R7" s="1">
        <v>0</v>
      </c>
      <c r="S7" s="1">
        <f>2*1825*R7</f>
        <v>0</v>
      </c>
      <c r="T7" s="9">
        <v>0</v>
      </c>
      <c r="U7" s="1">
        <v>0</v>
      </c>
      <c r="V7" s="1">
        <f t="shared" ref="V7:V27" si="3">(S7*T7)/$B$7</f>
        <v>0</v>
      </c>
      <c r="W7" s="1">
        <f t="shared" ref="W7:W27" si="4">V7*1000</f>
        <v>0</v>
      </c>
      <c r="X7" s="1">
        <f>W7*P7</f>
        <v>0</v>
      </c>
      <c r="Y7" s="1">
        <f t="shared" ref="Y7:Y27" si="5">(T7*S7*0.5*3.207)/1000000</f>
        <v>0</v>
      </c>
      <c r="AB7" s="1">
        <v>8</v>
      </c>
      <c r="AC7" s="1">
        <v>0</v>
      </c>
      <c r="AD7" s="1">
        <f>2*1825*AC7</f>
        <v>0</v>
      </c>
      <c r="AE7" s="9">
        <v>0</v>
      </c>
      <c r="AF7" s="1">
        <v>0</v>
      </c>
      <c r="AG7" s="1">
        <f t="shared" ref="AG7:AG27" si="6">(AD7*AE7)/$B$7</f>
        <v>0</v>
      </c>
      <c r="AH7" s="1">
        <f t="shared" ref="AH7:AH27" si="7">AG7*1000</f>
        <v>0</v>
      </c>
      <c r="AI7" s="1">
        <f>AH7*AA7</f>
        <v>0</v>
      </c>
      <c r="AJ7" s="1">
        <f t="shared" ref="AJ7:AJ27" si="8">(AE7*AD7*0.5*3.207)/1000000</f>
        <v>0</v>
      </c>
    </row>
    <row r="8" spans="1:36" ht="14.5" x14ac:dyDescent="0.35">
      <c r="F8" s="1">
        <v>8.5000000000000107</v>
      </c>
      <c r="G8" s="1">
        <v>0</v>
      </c>
      <c r="H8" s="1">
        <f t="shared" ref="H8:H27" si="9">2*1825*G8</f>
        <v>0</v>
      </c>
      <c r="I8" s="1">
        <v>0</v>
      </c>
      <c r="J8" s="1">
        <v>0</v>
      </c>
      <c r="K8" s="1">
        <f t="shared" si="0"/>
        <v>0</v>
      </c>
      <c r="L8" s="1">
        <f t="shared" si="1"/>
        <v>0</v>
      </c>
      <c r="M8" s="1">
        <f t="shared" ref="M8:M27" si="10">L8*$E$7+M7</f>
        <v>0</v>
      </c>
      <c r="N8" s="1">
        <f t="shared" si="2"/>
        <v>0</v>
      </c>
      <c r="Q8" s="1">
        <v>8.5000000000000107</v>
      </c>
      <c r="R8" s="1">
        <v>0</v>
      </c>
      <c r="S8" s="1">
        <f t="shared" ref="S8:S27" si="11">2*1825*R8</f>
        <v>0</v>
      </c>
      <c r="T8" s="1">
        <v>0</v>
      </c>
      <c r="U8" s="1">
        <v>0</v>
      </c>
      <c r="V8" s="1">
        <f t="shared" si="3"/>
        <v>0</v>
      </c>
      <c r="W8" s="1">
        <f t="shared" si="4"/>
        <v>0</v>
      </c>
      <c r="X8" s="1">
        <f t="shared" ref="X8:X27" si="12">W8*$E$7+X7</f>
        <v>0</v>
      </c>
      <c r="Y8" s="1">
        <f t="shared" si="5"/>
        <v>0</v>
      </c>
      <c r="AB8" s="1">
        <v>8.5000000000000107</v>
      </c>
      <c r="AC8" s="1">
        <v>0</v>
      </c>
      <c r="AD8" s="1">
        <f t="shared" ref="AD8:AD27" si="13">2*1825*AC8</f>
        <v>0</v>
      </c>
      <c r="AE8" s="1">
        <v>0</v>
      </c>
      <c r="AF8" s="1">
        <v>0</v>
      </c>
      <c r="AG8" s="1">
        <f t="shared" si="6"/>
        <v>0</v>
      </c>
      <c r="AH8" s="1">
        <f t="shared" si="7"/>
        <v>0</v>
      </c>
      <c r="AI8" s="1">
        <f t="shared" ref="AI8:AI27" si="14">AH8*$E$7+AI7</f>
        <v>0</v>
      </c>
      <c r="AJ8" s="1">
        <f t="shared" si="8"/>
        <v>0</v>
      </c>
    </row>
    <row r="9" spans="1:36" ht="14.5" x14ac:dyDescent="0.35">
      <c r="F9" s="1">
        <v>9.0000000000000107</v>
      </c>
      <c r="G9" s="1">
        <v>0.05</v>
      </c>
      <c r="H9" s="1">
        <f t="shared" si="9"/>
        <v>182.5</v>
      </c>
      <c r="I9" s="1">
        <f>2*335</f>
        <v>670</v>
      </c>
      <c r="J9" s="1">
        <f>$C$7*100/I9</f>
        <v>64.947761194029852</v>
      </c>
      <c r="K9" s="1">
        <f t="shared" si="0"/>
        <v>0.14687687687687687</v>
      </c>
      <c r="L9" s="1">
        <f t="shared" si="1"/>
        <v>146.87687687687688</v>
      </c>
      <c r="M9" s="1">
        <f t="shared" si="10"/>
        <v>73.438438438438439</v>
      </c>
      <c r="N9" s="1">
        <f t="shared" si="2"/>
        <v>0.1960679625</v>
      </c>
      <c r="Q9" s="1">
        <v>9.0000000000000107</v>
      </c>
      <c r="R9" s="1">
        <v>0.05</v>
      </c>
      <c r="S9" s="8">
        <f t="shared" si="11"/>
        <v>182.5</v>
      </c>
      <c r="T9" s="1">
        <v>0</v>
      </c>
      <c r="U9" s="13">
        <v>0</v>
      </c>
      <c r="V9" s="1">
        <f t="shared" si="3"/>
        <v>0</v>
      </c>
      <c r="W9" s="1">
        <f t="shared" si="4"/>
        <v>0</v>
      </c>
      <c r="X9" s="1">
        <f t="shared" si="12"/>
        <v>0</v>
      </c>
      <c r="Y9" s="1">
        <f t="shared" si="5"/>
        <v>0</v>
      </c>
      <c r="AB9" s="1">
        <v>9.0000000000000107</v>
      </c>
      <c r="AC9" s="1">
        <v>0.05</v>
      </c>
      <c r="AD9" s="8">
        <f t="shared" si="13"/>
        <v>182.5</v>
      </c>
      <c r="AE9" s="1">
        <v>0</v>
      </c>
      <c r="AF9" s="13">
        <v>0</v>
      </c>
      <c r="AG9" s="1">
        <f t="shared" si="6"/>
        <v>0</v>
      </c>
      <c r="AH9" s="1">
        <f t="shared" si="7"/>
        <v>0</v>
      </c>
      <c r="AI9" s="1">
        <f t="shared" si="14"/>
        <v>0</v>
      </c>
      <c r="AJ9" s="1">
        <f t="shared" si="8"/>
        <v>0</v>
      </c>
    </row>
    <row r="10" spans="1:36" ht="14.5" x14ac:dyDescent="0.35">
      <c r="F10" s="1">
        <v>9.5000000000000195</v>
      </c>
      <c r="G10" s="1">
        <v>0.05</v>
      </c>
      <c r="H10" s="1">
        <f t="shared" si="9"/>
        <v>182.5</v>
      </c>
      <c r="I10" s="9">
        <f>2*335</f>
        <v>670</v>
      </c>
      <c r="J10" s="1">
        <f t="shared" ref="J10:J26" si="15">$C$7*100/I10</f>
        <v>64.947761194029852</v>
      </c>
      <c r="K10" s="1">
        <f t="shared" si="0"/>
        <v>0.14687687687687687</v>
      </c>
      <c r="L10" s="1">
        <f t="shared" si="1"/>
        <v>146.87687687687688</v>
      </c>
      <c r="M10" s="1">
        <f t="shared" si="10"/>
        <v>146.87687687687688</v>
      </c>
      <c r="N10" s="1">
        <f t="shared" si="2"/>
        <v>0.1960679625</v>
      </c>
      <c r="Q10" s="1">
        <v>9.5000000000000195</v>
      </c>
      <c r="R10" s="1">
        <v>0.05</v>
      </c>
      <c r="S10" s="8">
        <f t="shared" si="11"/>
        <v>182.5</v>
      </c>
      <c r="T10" s="13">
        <v>0</v>
      </c>
      <c r="U10" s="13">
        <v>0</v>
      </c>
      <c r="V10" s="1">
        <f t="shared" si="3"/>
        <v>0</v>
      </c>
      <c r="W10" s="1">
        <f t="shared" si="4"/>
        <v>0</v>
      </c>
      <c r="X10" s="1">
        <f t="shared" si="12"/>
        <v>0</v>
      </c>
      <c r="Y10" s="1">
        <f t="shared" si="5"/>
        <v>0</v>
      </c>
      <c r="AB10" s="1">
        <v>9.5000000000000195</v>
      </c>
      <c r="AC10" s="1">
        <v>0.05</v>
      </c>
      <c r="AD10" s="8">
        <f t="shared" si="13"/>
        <v>182.5</v>
      </c>
      <c r="AE10" s="13">
        <v>0</v>
      </c>
      <c r="AF10" s="13">
        <v>0</v>
      </c>
      <c r="AG10" s="1">
        <f t="shared" si="6"/>
        <v>0</v>
      </c>
      <c r="AH10" s="1">
        <f t="shared" si="7"/>
        <v>0</v>
      </c>
      <c r="AI10" s="1">
        <f t="shared" si="14"/>
        <v>0</v>
      </c>
      <c r="AJ10" s="1">
        <f t="shared" si="8"/>
        <v>0</v>
      </c>
    </row>
    <row r="11" spans="1:36" ht="14.5" x14ac:dyDescent="0.35">
      <c r="F11" s="1">
        <v>10</v>
      </c>
      <c r="G11" s="1">
        <v>0.25</v>
      </c>
      <c r="H11" s="1">
        <f t="shared" si="9"/>
        <v>912.5</v>
      </c>
      <c r="I11" s="1">
        <f>2*261.7</f>
        <v>523.4</v>
      </c>
      <c r="J11" s="1">
        <f t="shared" si="15"/>
        <v>83.139090561711882</v>
      </c>
      <c r="K11" s="1">
        <f t="shared" si="0"/>
        <v>0.57369669669669665</v>
      </c>
      <c r="L11" s="1">
        <f t="shared" si="1"/>
        <v>573.69669669669668</v>
      </c>
      <c r="M11" s="1">
        <f t="shared" si="10"/>
        <v>433.72522522522524</v>
      </c>
      <c r="N11" s="1">
        <f t="shared" si="2"/>
        <v>0.76583560875000001</v>
      </c>
      <c r="Q11" s="1">
        <v>10</v>
      </c>
      <c r="R11" s="1">
        <v>0.25</v>
      </c>
      <c r="S11" s="14">
        <f t="shared" si="11"/>
        <v>912.5</v>
      </c>
      <c r="T11" s="1">
        <f>2*261.7</f>
        <v>523.4</v>
      </c>
      <c r="U11" s="1">
        <f t="shared" ref="U11:U14" si="16">$C$7*100/T11</f>
        <v>83.139090561711882</v>
      </c>
      <c r="V11" s="1">
        <f t="shared" si="3"/>
        <v>0.57369669669669665</v>
      </c>
      <c r="W11" s="1">
        <f t="shared" si="4"/>
        <v>573.69669669669668</v>
      </c>
      <c r="X11" s="1">
        <f t="shared" si="12"/>
        <v>286.84834834834834</v>
      </c>
      <c r="Y11" s="1">
        <f t="shared" si="5"/>
        <v>0.76583560875000001</v>
      </c>
      <c r="AB11" s="1">
        <v>10</v>
      </c>
      <c r="AC11" s="1">
        <v>0.25</v>
      </c>
      <c r="AD11" s="15">
        <f t="shared" si="13"/>
        <v>912.5</v>
      </c>
      <c r="AE11" s="13">
        <v>0</v>
      </c>
      <c r="AF11" s="13">
        <v>0</v>
      </c>
      <c r="AG11" s="1">
        <f t="shared" si="6"/>
        <v>0</v>
      </c>
      <c r="AH11" s="1">
        <f t="shared" si="7"/>
        <v>0</v>
      </c>
      <c r="AI11" s="1">
        <f t="shared" si="14"/>
        <v>0</v>
      </c>
      <c r="AJ11" s="1">
        <f t="shared" si="8"/>
        <v>0</v>
      </c>
    </row>
    <row r="12" spans="1:36" ht="14.5" x14ac:dyDescent="0.35">
      <c r="F12" s="1">
        <v>10.5</v>
      </c>
      <c r="G12" s="1">
        <v>0.25</v>
      </c>
      <c r="H12" s="1">
        <f t="shared" si="9"/>
        <v>912.5</v>
      </c>
      <c r="I12" s="1">
        <f>2*261.7</f>
        <v>523.4</v>
      </c>
      <c r="J12" s="1">
        <f t="shared" si="15"/>
        <v>83.139090561711882</v>
      </c>
      <c r="K12" s="1">
        <f t="shared" si="0"/>
        <v>0.57369669669669665</v>
      </c>
      <c r="L12" s="1">
        <f t="shared" si="1"/>
        <v>573.69669669669668</v>
      </c>
      <c r="M12" s="1">
        <f t="shared" si="10"/>
        <v>720.57357357357364</v>
      </c>
      <c r="N12" s="1">
        <f t="shared" si="2"/>
        <v>0.76583560875000001</v>
      </c>
      <c r="Q12" s="1">
        <v>10.5</v>
      </c>
      <c r="R12" s="1">
        <v>0.25</v>
      </c>
      <c r="S12" s="14">
        <f t="shared" si="11"/>
        <v>912.5</v>
      </c>
      <c r="T12" s="1">
        <f>2*261.7</f>
        <v>523.4</v>
      </c>
      <c r="U12" s="1">
        <f t="shared" si="16"/>
        <v>83.139090561711882</v>
      </c>
      <c r="V12" s="1">
        <f t="shared" si="3"/>
        <v>0.57369669669669665</v>
      </c>
      <c r="W12" s="1">
        <f t="shared" si="4"/>
        <v>573.69669669669668</v>
      </c>
      <c r="X12" s="1">
        <f t="shared" si="12"/>
        <v>573.69669669669668</v>
      </c>
      <c r="Y12" s="1">
        <f t="shared" si="5"/>
        <v>0.76583560875000001</v>
      </c>
      <c r="AB12" s="1">
        <v>10.5</v>
      </c>
      <c r="AC12" s="1">
        <v>0.25</v>
      </c>
      <c r="AD12" s="15">
        <f t="shared" si="13"/>
        <v>912.5</v>
      </c>
      <c r="AE12" s="13">
        <v>0</v>
      </c>
      <c r="AF12" s="13">
        <v>0</v>
      </c>
      <c r="AG12" s="1">
        <f t="shared" si="6"/>
        <v>0</v>
      </c>
      <c r="AH12" s="1">
        <f t="shared" si="7"/>
        <v>0</v>
      </c>
      <c r="AI12" s="1">
        <f t="shared" si="14"/>
        <v>0</v>
      </c>
      <c r="AJ12" s="1">
        <f t="shared" si="8"/>
        <v>0</v>
      </c>
    </row>
    <row r="13" spans="1:36" ht="14.5" x14ac:dyDescent="0.35">
      <c r="F13" s="1">
        <v>11</v>
      </c>
      <c r="G13" s="1">
        <v>0.35</v>
      </c>
      <c r="H13" s="1">
        <f t="shared" si="9"/>
        <v>1277.5</v>
      </c>
      <c r="I13" s="1">
        <f>2*242</f>
        <v>484</v>
      </c>
      <c r="J13" s="1">
        <f t="shared" si="15"/>
        <v>89.90702479338843</v>
      </c>
      <c r="K13" s="1">
        <f t="shared" si="0"/>
        <v>0.74271471471471473</v>
      </c>
      <c r="L13" s="1">
        <f t="shared" si="1"/>
        <v>742.71471471471477</v>
      </c>
      <c r="M13" s="1">
        <f t="shared" si="10"/>
        <v>1091.930930930931</v>
      </c>
      <c r="N13" s="1">
        <f t="shared" si="2"/>
        <v>0.99146008499999994</v>
      </c>
      <c r="Q13" s="1">
        <v>11</v>
      </c>
      <c r="R13" s="1">
        <v>0.35</v>
      </c>
      <c r="S13" s="14">
        <f t="shared" si="11"/>
        <v>1277.5</v>
      </c>
      <c r="T13" s="1">
        <f>2*242</f>
        <v>484</v>
      </c>
      <c r="U13" s="1">
        <f t="shared" si="16"/>
        <v>89.90702479338843</v>
      </c>
      <c r="V13" s="1">
        <f t="shared" si="3"/>
        <v>0.74271471471471473</v>
      </c>
      <c r="W13" s="1">
        <f t="shared" si="4"/>
        <v>742.71471471471477</v>
      </c>
      <c r="X13" s="1">
        <f t="shared" si="12"/>
        <v>945.05405405405406</v>
      </c>
      <c r="Y13" s="1">
        <f t="shared" si="5"/>
        <v>0.99146008499999994</v>
      </c>
      <c r="AB13" s="1">
        <v>11</v>
      </c>
      <c r="AC13" s="1">
        <v>0.35</v>
      </c>
      <c r="AD13" s="14">
        <f t="shared" si="13"/>
        <v>1277.5</v>
      </c>
      <c r="AE13" s="1">
        <f>2*242</f>
        <v>484</v>
      </c>
      <c r="AF13" s="1">
        <f t="shared" ref="AF13:AF14" si="17">$C$7*100/AE13</f>
        <v>89.90702479338843</v>
      </c>
      <c r="AG13" s="1">
        <f t="shared" si="6"/>
        <v>0.74271471471471473</v>
      </c>
      <c r="AH13" s="1">
        <f t="shared" si="7"/>
        <v>742.71471471471477</v>
      </c>
      <c r="AI13" s="1">
        <f t="shared" si="14"/>
        <v>371.35735735735739</v>
      </c>
      <c r="AJ13" s="1">
        <f t="shared" si="8"/>
        <v>0.99146008499999994</v>
      </c>
    </row>
    <row r="14" spans="1:36" ht="14.5" x14ac:dyDescent="0.35">
      <c r="F14" s="1">
        <v>11.5</v>
      </c>
      <c r="G14" s="1">
        <v>0.55000000000000004</v>
      </c>
      <c r="H14" s="1">
        <f t="shared" si="9"/>
        <v>2007.5000000000002</v>
      </c>
      <c r="I14" s="1">
        <f>2*223.6</f>
        <v>447.2</v>
      </c>
      <c r="J14" s="1">
        <f t="shared" si="15"/>
        <v>97.305456171735244</v>
      </c>
      <c r="K14" s="1">
        <f t="shared" si="0"/>
        <v>1.0783831831831834</v>
      </c>
      <c r="L14" s="1">
        <f t="shared" si="1"/>
        <v>1078.3831831831833</v>
      </c>
      <c r="M14" s="1">
        <f t="shared" si="10"/>
        <v>1631.1225225225226</v>
      </c>
      <c r="N14" s="1">
        <f t="shared" si="2"/>
        <v>1.439548539</v>
      </c>
      <c r="Q14" s="1">
        <v>11.5</v>
      </c>
      <c r="R14" s="1">
        <v>0.55000000000000004</v>
      </c>
      <c r="S14" s="14">
        <f t="shared" si="11"/>
        <v>2007.5000000000002</v>
      </c>
      <c r="T14" s="1">
        <f>2*223.6</f>
        <v>447.2</v>
      </c>
      <c r="U14" s="1">
        <f t="shared" si="16"/>
        <v>97.305456171735244</v>
      </c>
      <c r="V14" s="1">
        <f t="shared" si="3"/>
        <v>1.0783831831831834</v>
      </c>
      <c r="W14" s="1">
        <f t="shared" si="4"/>
        <v>1078.3831831831833</v>
      </c>
      <c r="X14" s="1">
        <f t="shared" si="12"/>
        <v>1484.2456456456457</v>
      </c>
      <c r="Y14" s="1">
        <f t="shared" si="5"/>
        <v>1.439548539</v>
      </c>
      <c r="AB14" s="1">
        <v>11.5</v>
      </c>
      <c r="AC14" s="1">
        <v>0.55000000000000004</v>
      </c>
      <c r="AD14" s="14">
        <f t="shared" si="13"/>
        <v>2007.5000000000002</v>
      </c>
      <c r="AE14" s="1">
        <f>2*223.6</f>
        <v>447.2</v>
      </c>
      <c r="AF14" s="1">
        <f t="shared" si="17"/>
        <v>97.305456171735244</v>
      </c>
      <c r="AG14" s="1">
        <f t="shared" si="6"/>
        <v>1.0783831831831834</v>
      </c>
      <c r="AH14" s="1">
        <f t="shared" si="7"/>
        <v>1078.3831831831833</v>
      </c>
      <c r="AI14" s="1">
        <f t="shared" si="14"/>
        <v>910.54894894894903</v>
      </c>
      <c r="AJ14" s="1">
        <f t="shared" si="8"/>
        <v>1.439548539</v>
      </c>
    </row>
    <row r="15" spans="1:36" ht="14.5" x14ac:dyDescent="0.35">
      <c r="F15" s="1">
        <v>12.000000000000099</v>
      </c>
      <c r="G15" s="1">
        <v>0.95</v>
      </c>
      <c r="H15" s="1">
        <f t="shared" si="9"/>
        <v>3467.5</v>
      </c>
      <c r="I15" s="1">
        <f>2*218.1</f>
        <v>436.2</v>
      </c>
      <c r="J15" s="1">
        <f>$C$7*100/I15</f>
        <v>99.759284731774414</v>
      </c>
      <c r="K15" s="1">
        <f t="shared" si="0"/>
        <v>1.8168450450450451</v>
      </c>
      <c r="L15" s="1">
        <f t="shared" si="1"/>
        <v>1816.845045045045</v>
      </c>
      <c r="M15" s="1">
        <f t="shared" si="10"/>
        <v>2539.5450450450453</v>
      </c>
      <c r="N15" s="1">
        <f t="shared" si="2"/>
        <v>2.4253314322500001</v>
      </c>
      <c r="Q15" s="1">
        <v>12.000000000000099</v>
      </c>
      <c r="R15" s="1">
        <v>0.95</v>
      </c>
      <c r="S15" s="1">
        <f t="shared" si="11"/>
        <v>3467.5</v>
      </c>
      <c r="T15" s="1">
        <f>2*218.1</f>
        <v>436.2</v>
      </c>
      <c r="U15" s="1">
        <f>$C$7*100/T15</f>
        <v>99.759284731774414</v>
      </c>
      <c r="V15" s="1">
        <f t="shared" si="3"/>
        <v>1.8168450450450451</v>
      </c>
      <c r="W15" s="1">
        <f t="shared" si="4"/>
        <v>1816.845045045045</v>
      </c>
      <c r="X15" s="1">
        <f t="shared" si="12"/>
        <v>2392.6681681681684</v>
      </c>
      <c r="Y15" s="1">
        <f t="shared" si="5"/>
        <v>2.4253314322500001</v>
      </c>
      <c r="AB15" s="1">
        <v>12.000000000000099</v>
      </c>
      <c r="AC15" s="1">
        <v>0.95</v>
      </c>
      <c r="AD15" s="1">
        <f t="shared" si="13"/>
        <v>3467.5</v>
      </c>
      <c r="AE15" s="1">
        <f>2*218.1</f>
        <v>436.2</v>
      </c>
      <c r="AF15" s="1">
        <f>$C$7*100/AE15</f>
        <v>99.759284731774414</v>
      </c>
      <c r="AG15" s="1">
        <f t="shared" si="6"/>
        <v>1.8168450450450451</v>
      </c>
      <c r="AH15" s="1">
        <f t="shared" si="7"/>
        <v>1816.845045045045</v>
      </c>
      <c r="AI15" s="1">
        <f t="shared" si="14"/>
        <v>1818.9714714714714</v>
      </c>
      <c r="AJ15" s="1">
        <f t="shared" si="8"/>
        <v>2.4253314322500001</v>
      </c>
    </row>
    <row r="16" spans="1:36" ht="14.5" x14ac:dyDescent="0.35">
      <c r="F16" s="1">
        <v>12.500000000000099</v>
      </c>
      <c r="G16" s="1">
        <v>0.55000000000000004</v>
      </c>
      <c r="H16" s="1">
        <f t="shared" si="9"/>
        <v>2007.5000000000002</v>
      </c>
      <c r="I16" s="1">
        <f>2*223.6</f>
        <v>447.2</v>
      </c>
      <c r="J16" s="1">
        <f t="shared" si="15"/>
        <v>97.305456171735244</v>
      </c>
      <c r="K16" s="1">
        <f t="shared" si="0"/>
        <v>1.0783831831831834</v>
      </c>
      <c r="L16" s="1">
        <f t="shared" si="1"/>
        <v>1078.3831831831833</v>
      </c>
      <c r="M16" s="1">
        <f t="shared" si="10"/>
        <v>3078.7366366366368</v>
      </c>
      <c r="N16" s="1">
        <f t="shared" si="2"/>
        <v>1.439548539</v>
      </c>
      <c r="Q16" s="1">
        <v>12.500000000000099</v>
      </c>
      <c r="R16" s="1">
        <v>0.55000000000000004</v>
      </c>
      <c r="S16" s="14">
        <f t="shared" si="11"/>
        <v>2007.5000000000002</v>
      </c>
      <c r="T16" s="1">
        <f>2*223.6</f>
        <v>447.2</v>
      </c>
      <c r="U16" s="1">
        <f t="shared" ref="U16:U20" si="18">$C$7*100/T16</f>
        <v>97.305456171735244</v>
      </c>
      <c r="V16" s="1">
        <f t="shared" si="3"/>
        <v>1.0783831831831834</v>
      </c>
      <c r="W16" s="1">
        <f t="shared" si="4"/>
        <v>1078.3831831831833</v>
      </c>
      <c r="X16" s="1">
        <f t="shared" si="12"/>
        <v>2931.85975975976</v>
      </c>
      <c r="Y16" s="1">
        <f t="shared" si="5"/>
        <v>1.439548539</v>
      </c>
      <c r="AB16" s="1">
        <v>12.500000000000099</v>
      </c>
      <c r="AC16" s="1">
        <v>0.55000000000000004</v>
      </c>
      <c r="AD16" s="14">
        <f t="shared" si="13"/>
        <v>2007.5000000000002</v>
      </c>
      <c r="AE16" s="1">
        <f>2*223.6</f>
        <v>447.2</v>
      </c>
      <c r="AF16" s="1">
        <f t="shared" ref="AF16:AF18" si="19">$C$7*100/AE16</f>
        <v>97.305456171735244</v>
      </c>
      <c r="AG16" s="1">
        <f t="shared" si="6"/>
        <v>1.0783831831831834</v>
      </c>
      <c r="AH16" s="1">
        <f t="shared" si="7"/>
        <v>1078.3831831831833</v>
      </c>
      <c r="AI16" s="1">
        <f t="shared" si="14"/>
        <v>2358.163063063063</v>
      </c>
      <c r="AJ16" s="1">
        <f t="shared" si="8"/>
        <v>1.439548539</v>
      </c>
    </row>
    <row r="17" spans="6:36" ht="14.5" x14ac:dyDescent="0.35">
      <c r="F17" s="1">
        <v>13.000000000000099</v>
      </c>
      <c r="G17" s="1">
        <v>0.55000000000000004</v>
      </c>
      <c r="H17" s="1">
        <f t="shared" si="9"/>
        <v>2007.5000000000002</v>
      </c>
      <c r="I17" s="1">
        <f>2*223.6</f>
        <v>447.2</v>
      </c>
      <c r="J17" s="1">
        <f t="shared" si="15"/>
        <v>97.305456171735244</v>
      </c>
      <c r="K17" s="1">
        <f t="shared" si="0"/>
        <v>1.0783831831831834</v>
      </c>
      <c r="L17" s="1">
        <f t="shared" si="1"/>
        <v>1078.3831831831833</v>
      </c>
      <c r="M17" s="1">
        <f t="shared" si="10"/>
        <v>3617.9282282282284</v>
      </c>
      <c r="N17" s="1">
        <f t="shared" si="2"/>
        <v>1.439548539</v>
      </c>
      <c r="Q17" s="1">
        <v>13.000000000000099</v>
      </c>
      <c r="R17" s="1">
        <v>0.55000000000000004</v>
      </c>
      <c r="S17" s="14">
        <f t="shared" si="11"/>
        <v>2007.5000000000002</v>
      </c>
      <c r="T17" s="1">
        <f>2*223.6</f>
        <v>447.2</v>
      </c>
      <c r="U17" s="1">
        <f t="shared" si="18"/>
        <v>97.305456171735244</v>
      </c>
      <c r="V17" s="1">
        <f t="shared" si="3"/>
        <v>1.0783831831831834</v>
      </c>
      <c r="W17" s="1">
        <f t="shared" si="4"/>
        <v>1078.3831831831833</v>
      </c>
      <c r="X17" s="1">
        <f t="shared" si="12"/>
        <v>3471.0513513513515</v>
      </c>
      <c r="Y17" s="1">
        <f t="shared" si="5"/>
        <v>1.439548539</v>
      </c>
      <c r="AB17" s="1">
        <v>13.000000000000099</v>
      </c>
      <c r="AC17" s="1">
        <v>0.55000000000000004</v>
      </c>
      <c r="AD17" s="14">
        <f t="shared" si="13"/>
        <v>2007.5000000000002</v>
      </c>
      <c r="AE17" s="1">
        <f>2*223.6</f>
        <v>447.2</v>
      </c>
      <c r="AF17" s="1">
        <f t="shared" si="19"/>
        <v>97.305456171735244</v>
      </c>
      <c r="AG17" s="1">
        <f t="shared" si="6"/>
        <v>1.0783831831831834</v>
      </c>
      <c r="AH17" s="1">
        <f t="shared" si="7"/>
        <v>1078.3831831831833</v>
      </c>
      <c r="AI17" s="1">
        <f t="shared" si="14"/>
        <v>2897.3546546546545</v>
      </c>
      <c r="AJ17" s="1">
        <f t="shared" si="8"/>
        <v>1.439548539</v>
      </c>
    </row>
    <row r="18" spans="6:36" ht="14.5" x14ac:dyDescent="0.35">
      <c r="F18" s="1">
        <v>13.500000000000099</v>
      </c>
      <c r="G18" s="1">
        <v>0.35</v>
      </c>
      <c r="H18" s="1">
        <f t="shared" si="9"/>
        <v>1277.5</v>
      </c>
      <c r="I18" s="1">
        <f>2*242</f>
        <v>484</v>
      </c>
      <c r="J18" s="1">
        <f t="shared" si="15"/>
        <v>89.90702479338843</v>
      </c>
      <c r="K18" s="1">
        <f t="shared" si="0"/>
        <v>0.74271471471471473</v>
      </c>
      <c r="L18" s="1">
        <f t="shared" si="1"/>
        <v>742.71471471471477</v>
      </c>
      <c r="M18" s="1">
        <f t="shared" si="10"/>
        <v>3989.285585585586</v>
      </c>
      <c r="N18" s="1">
        <f t="shared" si="2"/>
        <v>0.99146008499999994</v>
      </c>
      <c r="Q18" s="1">
        <v>13.500000000000099</v>
      </c>
      <c r="R18" s="1">
        <v>0.35</v>
      </c>
      <c r="S18" s="14">
        <f t="shared" si="11"/>
        <v>1277.5</v>
      </c>
      <c r="T18" s="1">
        <f>2*242</f>
        <v>484</v>
      </c>
      <c r="U18" s="1">
        <f t="shared" si="18"/>
        <v>89.90702479338843</v>
      </c>
      <c r="V18" s="1">
        <f t="shared" si="3"/>
        <v>0.74271471471471473</v>
      </c>
      <c r="W18" s="1">
        <f t="shared" si="4"/>
        <v>742.71471471471477</v>
      </c>
      <c r="X18" s="1">
        <f t="shared" si="12"/>
        <v>3842.4087087087091</v>
      </c>
      <c r="Y18" s="1">
        <f t="shared" si="5"/>
        <v>0.99146008499999994</v>
      </c>
      <c r="AB18" s="1">
        <v>13.500000000000099</v>
      </c>
      <c r="AC18" s="1">
        <v>0.35</v>
      </c>
      <c r="AD18" s="14">
        <f t="shared" si="13"/>
        <v>1277.5</v>
      </c>
      <c r="AE18" s="1">
        <f>2*242</f>
        <v>484</v>
      </c>
      <c r="AF18" s="1">
        <f t="shared" si="19"/>
        <v>89.90702479338843</v>
      </c>
      <c r="AG18" s="1">
        <f t="shared" si="6"/>
        <v>0.74271471471471473</v>
      </c>
      <c r="AH18" s="1">
        <f t="shared" si="7"/>
        <v>742.71471471471477</v>
      </c>
      <c r="AI18" s="1">
        <f t="shared" si="14"/>
        <v>3268.7120120120117</v>
      </c>
      <c r="AJ18" s="1">
        <f t="shared" si="8"/>
        <v>0.99146008499999994</v>
      </c>
    </row>
    <row r="19" spans="6:36" ht="14.5" x14ac:dyDescent="0.35">
      <c r="F19" s="1">
        <v>14.000000000000099</v>
      </c>
      <c r="G19" s="1">
        <v>0.25</v>
      </c>
      <c r="H19" s="1">
        <f t="shared" si="9"/>
        <v>912.5</v>
      </c>
      <c r="I19" s="1">
        <f>2*261.7</f>
        <v>523.4</v>
      </c>
      <c r="J19" s="1">
        <f t="shared" si="15"/>
        <v>83.139090561711882</v>
      </c>
      <c r="K19" s="1">
        <f t="shared" si="0"/>
        <v>0.57369669669669665</v>
      </c>
      <c r="L19" s="1">
        <f t="shared" si="1"/>
        <v>573.69669669669668</v>
      </c>
      <c r="M19" s="1">
        <f t="shared" si="10"/>
        <v>4276.1339339339347</v>
      </c>
      <c r="N19" s="1">
        <f t="shared" si="2"/>
        <v>0.76583560875000001</v>
      </c>
      <c r="Q19" s="1">
        <v>14.000000000000099</v>
      </c>
      <c r="R19" s="1">
        <v>0.25</v>
      </c>
      <c r="S19" s="14">
        <f t="shared" si="11"/>
        <v>912.5</v>
      </c>
      <c r="T19" s="1">
        <f>2*261.7</f>
        <v>523.4</v>
      </c>
      <c r="U19" s="1">
        <f t="shared" si="18"/>
        <v>83.139090561711882</v>
      </c>
      <c r="V19" s="1">
        <f t="shared" si="3"/>
        <v>0.57369669669669665</v>
      </c>
      <c r="W19" s="1">
        <f t="shared" si="4"/>
        <v>573.69669669669668</v>
      </c>
      <c r="X19" s="1">
        <f t="shared" si="12"/>
        <v>4129.2570570570579</v>
      </c>
      <c r="Y19" s="1">
        <f t="shared" si="5"/>
        <v>0.76583560875000001</v>
      </c>
      <c r="AB19" s="1">
        <v>14.000000000000099</v>
      </c>
      <c r="AC19" s="1">
        <v>0.25</v>
      </c>
      <c r="AD19" s="15">
        <f t="shared" si="13"/>
        <v>912.5</v>
      </c>
      <c r="AE19" s="1">
        <v>0</v>
      </c>
      <c r="AF19" s="1">
        <v>0</v>
      </c>
      <c r="AG19" s="1">
        <f t="shared" si="6"/>
        <v>0</v>
      </c>
      <c r="AH19" s="1">
        <f t="shared" si="7"/>
        <v>0</v>
      </c>
      <c r="AI19" s="1">
        <f t="shared" si="14"/>
        <v>3268.7120120120117</v>
      </c>
      <c r="AJ19" s="1">
        <f t="shared" si="8"/>
        <v>0</v>
      </c>
    </row>
    <row r="20" spans="6:36" ht="14.5" x14ac:dyDescent="0.35">
      <c r="F20" s="1">
        <v>14.500000000000099</v>
      </c>
      <c r="G20" s="1">
        <v>0.25</v>
      </c>
      <c r="H20" s="1">
        <f t="shared" si="9"/>
        <v>912.5</v>
      </c>
      <c r="I20" s="1">
        <f>2*261.7</f>
        <v>523.4</v>
      </c>
      <c r="J20" s="1">
        <f t="shared" si="15"/>
        <v>83.139090561711882</v>
      </c>
      <c r="K20" s="1">
        <f t="shared" si="0"/>
        <v>0.57369669669669665</v>
      </c>
      <c r="L20" s="1">
        <f t="shared" si="1"/>
        <v>573.69669669669668</v>
      </c>
      <c r="M20" s="1">
        <f t="shared" si="10"/>
        <v>4562.9822822822834</v>
      </c>
      <c r="N20" s="1">
        <f t="shared" si="2"/>
        <v>0.76583560875000001</v>
      </c>
      <c r="Q20" s="1">
        <v>14.500000000000099</v>
      </c>
      <c r="R20" s="1">
        <v>0.25</v>
      </c>
      <c r="S20" s="14">
        <f t="shared" si="11"/>
        <v>912.5</v>
      </c>
      <c r="T20" s="1">
        <f>2*261.7</f>
        <v>523.4</v>
      </c>
      <c r="U20" s="1">
        <f t="shared" si="18"/>
        <v>83.139090561711882</v>
      </c>
      <c r="V20" s="1">
        <f t="shared" si="3"/>
        <v>0.57369669669669665</v>
      </c>
      <c r="W20" s="1">
        <f t="shared" si="4"/>
        <v>573.69669669669668</v>
      </c>
      <c r="X20" s="1">
        <f t="shared" si="12"/>
        <v>4416.1054054054066</v>
      </c>
      <c r="Y20" s="1">
        <f t="shared" si="5"/>
        <v>0.76583560875000001</v>
      </c>
      <c r="AB20" s="1">
        <v>14.500000000000099</v>
      </c>
      <c r="AC20" s="1">
        <v>0.25</v>
      </c>
      <c r="AD20" s="15">
        <f t="shared" si="13"/>
        <v>912.5</v>
      </c>
      <c r="AE20" s="1">
        <v>0</v>
      </c>
      <c r="AF20" s="1">
        <v>0</v>
      </c>
      <c r="AG20" s="1">
        <f t="shared" si="6"/>
        <v>0</v>
      </c>
      <c r="AH20" s="1">
        <f t="shared" si="7"/>
        <v>0</v>
      </c>
      <c r="AI20" s="1">
        <f t="shared" si="14"/>
        <v>3268.7120120120117</v>
      </c>
      <c r="AJ20" s="1">
        <f t="shared" si="8"/>
        <v>0</v>
      </c>
    </row>
    <row r="21" spans="6:36" ht="15.75" customHeight="1" x14ac:dyDescent="0.35">
      <c r="F21" s="1">
        <v>15.000000000000099</v>
      </c>
      <c r="G21" s="1">
        <v>0.15</v>
      </c>
      <c r="H21" s="1">
        <f t="shared" si="9"/>
        <v>547.5</v>
      </c>
      <c r="I21" s="1">
        <f>2*291.1</f>
        <v>582.20000000000005</v>
      </c>
      <c r="J21" s="1">
        <f t="shared" si="15"/>
        <v>74.742356578495361</v>
      </c>
      <c r="K21" s="1">
        <f t="shared" si="0"/>
        <v>0.3828882882882883</v>
      </c>
      <c r="L21" s="1">
        <f t="shared" si="1"/>
        <v>382.88828828828832</v>
      </c>
      <c r="M21" s="1">
        <f t="shared" si="10"/>
        <v>4754.4264264264275</v>
      </c>
      <c r="N21" s="1">
        <f t="shared" si="2"/>
        <v>0.51112284075000003</v>
      </c>
      <c r="Q21" s="1">
        <v>15.000000000000099</v>
      </c>
      <c r="R21" s="1">
        <v>0.15</v>
      </c>
      <c r="S21" s="8">
        <f t="shared" si="11"/>
        <v>547.5</v>
      </c>
      <c r="T21" s="1">
        <v>0</v>
      </c>
      <c r="U21" s="13">
        <v>0</v>
      </c>
      <c r="V21" s="1">
        <f t="shared" si="3"/>
        <v>0</v>
      </c>
      <c r="W21" s="1">
        <f t="shared" si="4"/>
        <v>0</v>
      </c>
      <c r="X21" s="1">
        <f t="shared" si="12"/>
        <v>4416.1054054054066</v>
      </c>
      <c r="Y21" s="1">
        <f t="shared" si="5"/>
        <v>0</v>
      </c>
      <c r="AB21" s="1">
        <v>15.000000000000099</v>
      </c>
      <c r="AC21" s="1">
        <v>0.15</v>
      </c>
      <c r="AD21" s="8">
        <f t="shared" si="13"/>
        <v>547.5</v>
      </c>
      <c r="AE21" s="1">
        <v>0</v>
      </c>
      <c r="AF21" s="13">
        <v>0</v>
      </c>
      <c r="AG21" s="1">
        <f t="shared" si="6"/>
        <v>0</v>
      </c>
      <c r="AH21" s="1">
        <f t="shared" si="7"/>
        <v>0</v>
      </c>
      <c r="AI21" s="1">
        <f t="shared" si="14"/>
        <v>3268.7120120120117</v>
      </c>
      <c r="AJ21" s="1">
        <f t="shared" si="8"/>
        <v>0</v>
      </c>
    </row>
    <row r="22" spans="6:36" ht="15.75" customHeight="1" x14ac:dyDescent="0.35">
      <c r="F22" s="1">
        <v>15.500000000000099</v>
      </c>
      <c r="G22" s="1">
        <v>0.15</v>
      </c>
      <c r="H22" s="1">
        <f t="shared" si="9"/>
        <v>547.5</v>
      </c>
      <c r="I22" s="1">
        <f>2*291.1</f>
        <v>582.20000000000005</v>
      </c>
      <c r="J22" s="1">
        <f t="shared" si="15"/>
        <v>74.742356578495361</v>
      </c>
      <c r="K22" s="1">
        <f t="shared" si="0"/>
        <v>0.3828882882882883</v>
      </c>
      <c r="L22" s="1">
        <f t="shared" si="1"/>
        <v>382.88828828828832</v>
      </c>
      <c r="M22" s="1">
        <f t="shared" si="10"/>
        <v>4945.8705705705715</v>
      </c>
      <c r="N22" s="1">
        <f t="shared" si="2"/>
        <v>0.51112284075000003</v>
      </c>
      <c r="Q22" s="1">
        <v>15.500000000000099</v>
      </c>
      <c r="R22" s="1">
        <v>0.15</v>
      </c>
      <c r="S22" s="8">
        <f t="shared" si="11"/>
        <v>547.5</v>
      </c>
      <c r="T22" s="1">
        <v>0</v>
      </c>
      <c r="U22" s="13">
        <v>0</v>
      </c>
      <c r="V22" s="1">
        <f t="shared" si="3"/>
        <v>0</v>
      </c>
      <c r="W22" s="1">
        <f t="shared" si="4"/>
        <v>0</v>
      </c>
      <c r="X22" s="1">
        <f t="shared" si="12"/>
        <v>4416.1054054054066</v>
      </c>
      <c r="Y22" s="1">
        <f t="shared" si="5"/>
        <v>0</v>
      </c>
      <c r="AB22" s="1">
        <v>15.500000000000099</v>
      </c>
      <c r="AC22" s="1">
        <v>0.15</v>
      </c>
      <c r="AD22" s="8">
        <f t="shared" si="13"/>
        <v>547.5</v>
      </c>
      <c r="AE22" s="1">
        <v>0</v>
      </c>
      <c r="AF22" s="13">
        <v>0</v>
      </c>
      <c r="AG22" s="1">
        <f t="shared" si="6"/>
        <v>0</v>
      </c>
      <c r="AH22" s="1">
        <f t="shared" si="7"/>
        <v>0</v>
      </c>
      <c r="AI22" s="1">
        <f t="shared" si="14"/>
        <v>3268.7120120120117</v>
      </c>
      <c r="AJ22" s="1">
        <f t="shared" si="8"/>
        <v>0</v>
      </c>
    </row>
    <row r="23" spans="6:36" ht="15.75" customHeight="1" x14ac:dyDescent="0.35">
      <c r="F23" s="1">
        <v>16.000000000000099</v>
      </c>
      <c r="G23" s="1">
        <v>0.1</v>
      </c>
      <c r="H23" s="1">
        <f t="shared" si="9"/>
        <v>365</v>
      </c>
      <c r="I23" s="1">
        <f>2*311.1</f>
        <v>622.20000000000005</v>
      </c>
      <c r="J23" s="1">
        <f t="shared" si="15"/>
        <v>69.937319189971063</v>
      </c>
      <c r="K23" s="1">
        <f t="shared" si="0"/>
        <v>0.27279639639639641</v>
      </c>
      <c r="L23" s="1">
        <f t="shared" si="1"/>
        <v>272.7963963963964</v>
      </c>
      <c r="M23" s="1">
        <f t="shared" si="10"/>
        <v>5082.2687687687694</v>
      </c>
      <c r="N23" s="1">
        <f t="shared" si="2"/>
        <v>0.36415966050000004</v>
      </c>
      <c r="Q23" s="1">
        <v>16.000000000000099</v>
      </c>
      <c r="R23" s="1">
        <v>0.1</v>
      </c>
      <c r="S23" s="8">
        <f t="shared" si="11"/>
        <v>365</v>
      </c>
      <c r="T23" s="1">
        <v>0</v>
      </c>
      <c r="U23" s="1">
        <v>0</v>
      </c>
      <c r="V23" s="1">
        <f t="shared" si="3"/>
        <v>0</v>
      </c>
      <c r="W23" s="1">
        <f t="shared" si="4"/>
        <v>0</v>
      </c>
      <c r="X23" s="1">
        <f t="shared" si="12"/>
        <v>4416.1054054054066</v>
      </c>
      <c r="Y23" s="1">
        <f t="shared" si="5"/>
        <v>0</v>
      </c>
      <c r="AB23" s="1">
        <v>16.000000000000099</v>
      </c>
      <c r="AC23" s="1">
        <v>0.1</v>
      </c>
      <c r="AD23" s="8">
        <f t="shared" si="13"/>
        <v>365</v>
      </c>
      <c r="AE23" s="1">
        <v>0</v>
      </c>
      <c r="AF23" s="1">
        <v>0</v>
      </c>
      <c r="AG23" s="1">
        <f t="shared" si="6"/>
        <v>0</v>
      </c>
      <c r="AH23" s="1">
        <f t="shared" si="7"/>
        <v>0</v>
      </c>
      <c r="AI23" s="1">
        <f t="shared" si="14"/>
        <v>3268.7120120120117</v>
      </c>
      <c r="AJ23" s="1">
        <f t="shared" si="8"/>
        <v>0</v>
      </c>
    </row>
    <row r="24" spans="6:36" ht="15.75" customHeight="1" x14ac:dyDescent="0.35">
      <c r="F24" s="1">
        <v>16.500000000000099</v>
      </c>
      <c r="G24" s="1">
        <v>0.1</v>
      </c>
      <c r="H24" s="1">
        <f t="shared" si="9"/>
        <v>365</v>
      </c>
      <c r="I24" s="1">
        <f>2*311.1</f>
        <v>622.20000000000005</v>
      </c>
      <c r="J24" s="1">
        <f t="shared" si="15"/>
        <v>69.937319189971063</v>
      </c>
      <c r="K24" s="1">
        <f t="shared" si="0"/>
        <v>0.27279639639639641</v>
      </c>
      <c r="L24" s="1">
        <f t="shared" si="1"/>
        <v>272.7963963963964</v>
      </c>
      <c r="M24" s="1">
        <f t="shared" si="10"/>
        <v>5218.6669669669673</v>
      </c>
      <c r="N24" s="1">
        <f t="shared" si="2"/>
        <v>0.36415966050000004</v>
      </c>
      <c r="Q24" s="1">
        <v>16.500000000000099</v>
      </c>
      <c r="R24" s="1">
        <v>0.1</v>
      </c>
      <c r="S24" s="8">
        <f t="shared" si="11"/>
        <v>365</v>
      </c>
      <c r="T24" s="13">
        <v>0</v>
      </c>
      <c r="U24" s="1">
        <v>0</v>
      </c>
      <c r="V24" s="1">
        <f t="shared" si="3"/>
        <v>0</v>
      </c>
      <c r="W24" s="1">
        <f t="shared" si="4"/>
        <v>0</v>
      </c>
      <c r="X24" s="1">
        <f t="shared" si="12"/>
        <v>4416.1054054054066</v>
      </c>
      <c r="Y24" s="1">
        <f t="shared" si="5"/>
        <v>0</v>
      </c>
      <c r="AB24" s="1">
        <v>16.500000000000099</v>
      </c>
      <c r="AC24" s="1">
        <v>0.1</v>
      </c>
      <c r="AD24" s="8">
        <f t="shared" si="13"/>
        <v>365</v>
      </c>
      <c r="AE24" s="13">
        <v>0</v>
      </c>
      <c r="AF24" s="1">
        <v>0</v>
      </c>
      <c r="AG24" s="1">
        <f t="shared" si="6"/>
        <v>0</v>
      </c>
      <c r="AH24" s="1">
        <f t="shared" si="7"/>
        <v>0</v>
      </c>
      <c r="AI24" s="1">
        <f t="shared" si="14"/>
        <v>3268.7120120120117</v>
      </c>
      <c r="AJ24" s="1">
        <f t="shared" si="8"/>
        <v>0</v>
      </c>
    </row>
    <row r="25" spans="6:36" ht="15.75" customHeight="1" x14ac:dyDescent="0.35">
      <c r="F25" s="1">
        <v>17.000000000000099</v>
      </c>
      <c r="G25" s="1">
        <v>0.05</v>
      </c>
      <c r="H25" s="1">
        <f t="shared" si="9"/>
        <v>182.5</v>
      </c>
      <c r="I25" s="1">
        <f>2*335</f>
        <v>670</v>
      </c>
      <c r="J25" s="1">
        <f t="shared" si="15"/>
        <v>64.947761194029852</v>
      </c>
      <c r="K25" s="1">
        <f t="shared" si="0"/>
        <v>0.14687687687687687</v>
      </c>
      <c r="L25" s="1">
        <f t="shared" si="1"/>
        <v>146.87687687687688</v>
      </c>
      <c r="M25" s="1">
        <f t="shared" si="10"/>
        <v>5292.1054054054057</v>
      </c>
      <c r="N25" s="1">
        <f t="shared" si="2"/>
        <v>0.1960679625</v>
      </c>
      <c r="Q25" s="1">
        <v>17.000000000000099</v>
      </c>
      <c r="R25" s="1">
        <v>0.05</v>
      </c>
      <c r="S25" s="8">
        <f t="shared" si="11"/>
        <v>182.5</v>
      </c>
      <c r="T25" s="13">
        <v>0</v>
      </c>
      <c r="U25" s="1">
        <v>0</v>
      </c>
      <c r="V25" s="1">
        <f t="shared" si="3"/>
        <v>0</v>
      </c>
      <c r="W25" s="1">
        <f t="shared" si="4"/>
        <v>0</v>
      </c>
      <c r="X25" s="1">
        <f t="shared" si="12"/>
        <v>4416.1054054054066</v>
      </c>
      <c r="Y25" s="1">
        <f t="shared" si="5"/>
        <v>0</v>
      </c>
      <c r="AB25" s="1">
        <v>17.000000000000099</v>
      </c>
      <c r="AC25" s="1">
        <v>0.05</v>
      </c>
      <c r="AD25" s="8">
        <f t="shared" si="13"/>
        <v>182.5</v>
      </c>
      <c r="AE25" s="13">
        <v>0</v>
      </c>
      <c r="AF25" s="1">
        <v>0</v>
      </c>
      <c r="AG25" s="1">
        <f t="shared" si="6"/>
        <v>0</v>
      </c>
      <c r="AH25" s="1">
        <f t="shared" si="7"/>
        <v>0</v>
      </c>
      <c r="AI25" s="1">
        <f t="shared" si="14"/>
        <v>3268.7120120120117</v>
      </c>
      <c r="AJ25" s="1">
        <f t="shared" si="8"/>
        <v>0</v>
      </c>
    </row>
    <row r="26" spans="6:36" ht="15.75" customHeight="1" x14ac:dyDescent="0.35">
      <c r="F26" s="1">
        <v>17.500000000000099</v>
      </c>
      <c r="G26" s="1">
        <v>0.05</v>
      </c>
      <c r="H26" s="1">
        <f t="shared" si="9"/>
        <v>182.5</v>
      </c>
      <c r="I26" s="1">
        <f>2*335</f>
        <v>670</v>
      </c>
      <c r="J26" s="1">
        <f t="shared" si="15"/>
        <v>64.947761194029852</v>
      </c>
      <c r="K26" s="1">
        <f t="shared" si="0"/>
        <v>0.14687687687687687</v>
      </c>
      <c r="L26" s="1">
        <f t="shared" si="1"/>
        <v>146.87687687687688</v>
      </c>
      <c r="M26" s="1">
        <f t="shared" si="10"/>
        <v>5365.5438438438441</v>
      </c>
      <c r="N26" s="1">
        <f t="shared" si="2"/>
        <v>0.1960679625</v>
      </c>
      <c r="Q26" s="1">
        <v>17.500000000000099</v>
      </c>
      <c r="R26" s="1">
        <v>0.05</v>
      </c>
      <c r="S26" s="8">
        <f t="shared" si="11"/>
        <v>182.5</v>
      </c>
      <c r="T26" s="13">
        <v>0</v>
      </c>
      <c r="U26" s="1">
        <v>0</v>
      </c>
      <c r="V26" s="1">
        <f t="shared" si="3"/>
        <v>0</v>
      </c>
      <c r="W26" s="1">
        <f t="shared" si="4"/>
        <v>0</v>
      </c>
      <c r="X26" s="1">
        <f t="shared" si="12"/>
        <v>4416.1054054054066</v>
      </c>
      <c r="Y26" s="1">
        <f t="shared" si="5"/>
        <v>0</v>
      </c>
      <c r="AB26" s="1">
        <v>17.500000000000099</v>
      </c>
      <c r="AC26" s="1">
        <v>0.05</v>
      </c>
      <c r="AD26" s="8">
        <f t="shared" si="13"/>
        <v>182.5</v>
      </c>
      <c r="AE26" s="13">
        <v>0</v>
      </c>
      <c r="AF26" s="1">
        <v>0</v>
      </c>
      <c r="AG26" s="1">
        <f t="shared" si="6"/>
        <v>0</v>
      </c>
      <c r="AH26" s="1">
        <f t="shared" si="7"/>
        <v>0</v>
      </c>
      <c r="AI26" s="1">
        <f t="shared" si="14"/>
        <v>3268.7120120120117</v>
      </c>
      <c r="AJ26" s="1">
        <f t="shared" si="8"/>
        <v>0</v>
      </c>
    </row>
    <row r="27" spans="6:36" ht="15.75" customHeight="1" x14ac:dyDescent="0.35">
      <c r="F27" s="1">
        <v>18.000000000000099</v>
      </c>
      <c r="G27" s="1">
        <v>0</v>
      </c>
      <c r="H27" s="1">
        <f t="shared" si="9"/>
        <v>0</v>
      </c>
      <c r="I27" s="1">
        <v>0</v>
      </c>
      <c r="K27" s="1">
        <f t="shared" si="0"/>
        <v>0</v>
      </c>
      <c r="L27" s="1">
        <f t="shared" si="1"/>
        <v>0</v>
      </c>
      <c r="M27" s="1">
        <f t="shared" si="10"/>
        <v>5365.5438438438441</v>
      </c>
      <c r="N27" s="1">
        <f t="shared" si="2"/>
        <v>0</v>
      </c>
      <c r="Q27" s="1">
        <v>18.000000000000099</v>
      </c>
      <c r="R27" s="1">
        <v>0</v>
      </c>
      <c r="S27" s="8">
        <f t="shared" si="11"/>
        <v>0</v>
      </c>
      <c r="T27" s="1">
        <v>0</v>
      </c>
      <c r="U27" s="13">
        <v>0</v>
      </c>
      <c r="V27" s="1">
        <f t="shared" si="3"/>
        <v>0</v>
      </c>
      <c r="W27" s="1">
        <f t="shared" si="4"/>
        <v>0</v>
      </c>
      <c r="X27" s="1">
        <f t="shared" si="12"/>
        <v>4416.1054054054066</v>
      </c>
      <c r="Y27" s="1">
        <f t="shared" si="5"/>
        <v>0</v>
      </c>
      <c r="AB27" s="1">
        <v>18.000000000000099</v>
      </c>
      <c r="AC27" s="1">
        <v>0</v>
      </c>
      <c r="AD27" s="8">
        <f t="shared" si="13"/>
        <v>0</v>
      </c>
      <c r="AE27" s="1">
        <v>0</v>
      </c>
      <c r="AF27" s="13">
        <v>0</v>
      </c>
      <c r="AG27" s="1">
        <f t="shared" si="6"/>
        <v>0</v>
      </c>
      <c r="AH27" s="1">
        <f t="shared" si="7"/>
        <v>0</v>
      </c>
      <c r="AI27" s="1">
        <f t="shared" si="14"/>
        <v>3268.7120120120117</v>
      </c>
      <c r="AJ27" s="1">
        <f t="shared" si="8"/>
        <v>0</v>
      </c>
    </row>
    <row r="28" spans="6:36" ht="15.75" customHeight="1" x14ac:dyDescent="0.35"/>
    <row r="29" spans="6:36" ht="15.75" customHeight="1" x14ac:dyDescent="0.35"/>
    <row r="30" spans="6:36" ht="15.75" customHeight="1" x14ac:dyDescent="0.35">
      <c r="F30" s="1" t="s">
        <v>15</v>
      </c>
      <c r="G30" s="1" t="s">
        <v>16</v>
      </c>
      <c r="H30" s="1" t="s">
        <v>17</v>
      </c>
      <c r="Q30" s="1" t="s">
        <v>15</v>
      </c>
      <c r="R30" s="1" t="s">
        <v>16</v>
      </c>
      <c r="S30" s="1" t="s">
        <v>17</v>
      </c>
      <c r="AB30" s="1" t="s">
        <v>15</v>
      </c>
      <c r="AC30" s="1" t="s">
        <v>16</v>
      </c>
      <c r="AD30" s="1" t="s">
        <v>17</v>
      </c>
    </row>
    <row r="31" spans="6:36" ht="15.75" customHeight="1" x14ac:dyDescent="0.35">
      <c r="F31" s="13" t="s">
        <v>21</v>
      </c>
      <c r="G31" s="2">
        <f>(L8+L9+L10+L11+L12+L19+L21+L20+L22+L23+L24+L25+L26)*0.5</f>
        <v>2096.831831831832</v>
      </c>
      <c r="H31" s="1">
        <f>(N8+N9+N10+N11+N12+N19+N20+N21+N22+N23+N24+N25+N26)</f>
        <v>5.5981792875000007</v>
      </c>
      <c r="Q31" s="13" t="s">
        <v>21</v>
      </c>
      <c r="R31" s="2">
        <f>(W7+W8+W9+W10+W21+W22+W23+W24+W25+W26+W27+W11+W12+W19+W20)*0.5</f>
        <v>1147.3933933933934</v>
      </c>
      <c r="S31" s="1">
        <f>(Y7+Y8+Y9+Y10+Y21+Y22+Y23+Y24+Y25+Y26+Y27+Y11+Y12+Y19+Y20)</f>
        <v>3.063342435</v>
      </c>
      <c r="AB31" s="13" t="s">
        <v>21</v>
      </c>
      <c r="AC31" s="2">
        <f>(AH7+AH8+AH9+AH10+AH21+AH22+AH23+AH24+AH25+AH26+AH27)*0.5</f>
        <v>0</v>
      </c>
      <c r="AD31" s="1">
        <f>(AJ7+AJ8+AJ9+AJ10+AJ21+AJ22+AJ23+AJ24+AJ25+AJ26+AJ27+AJ11+AJ12+AJ19+AJ20)</f>
        <v>0</v>
      </c>
    </row>
    <row r="32" spans="6:36" ht="15.75" customHeight="1" x14ac:dyDescent="0.35">
      <c r="F32" s="13" t="s">
        <v>22</v>
      </c>
      <c r="G32" s="2">
        <f>(L13+L14+L16+L17+L18)*0.5</f>
        <v>2360.2894894894898</v>
      </c>
      <c r="H32" s="1">
        <f>(N13+N14+N16+N17+N18+0)</f>
        <v>6.3015657869999995</v>
      </c>
      <c r="Q32" s="13" t="s">
        <v>22</v>
      </c>
      <c r="R32" s="2">
        <f>(W13+W14+W16+W17+W18)*0.5</f>
        <v>2360.2894894894898</v>
      </c>
      <c r="S32" s="1">
        <f>Y13+Y14+Y16+Y17+Y18</f>
        <v>6.3015657869999995</v>
      </c>
      <c r="AB32" s="13" t="s">
        <v>22</v>
      </c>
      <c r="AC32" s="2">
        <f>(AH13+AH14+AH16+AH17+AH18)*0.5</f>
        <v>2360.2894894894898</v>
      </c>
      <c r="AD32" s="1">
        <f>AJ13+AJ14+AJ16+AJ17+AJ18</f>
        <v>6.3015657869999995</v>
      </c>
    </row>
    <row r="33" spans="6:30" ht="15.75" customHeight="1" x14ac:dyDescent="0.35">
      <c r="F33" s="13" t="s">
        <v>23</v>
      </c>
      <c r="G33" s="2">
        <f>(L15+0)*0.5</f>
        <v>908.42252252252251</v>
      </c>
      <c r="H33" s="1">
        <f>N15</f>
        <v>2.4253314322500001</v>
      </c>
      <c r="Q33" s="13" t="s">
        <v>23</v>
      </c>
      <c r="R33" s="2">
        <f>W15*0.5</f>
        <v>908.42252252252251</v>
      </c>
      <c r="S33" s="1">
        <f>Y15</f>
        <v>2.4253314322500001</v>
      </c>
      <c r="AB33" s="13" t="s">
        <v>23</v>
      </c>
      <c r="AC33" s="2">
        <f>AH15*0.5</f>
        <v>908.42252252252251</v>
      </c>
      <c r="AD33" s="1">
        <f>AJ15</f>
        <v>2.4253314322500001</v>
      </c>
    </row>
    <row r="34" spans="6:30" ht="15.75" customHeight="1" x14ac:dyDescent="0.35">
      <c r="G34" s="2">
        <f t="shared" ref="G34:H34" si="20">SUM(G31:G33)</f>
        <v>5365.5438438438441</v>
      </c>
      <c r="H34" s="1">
        <f t="shared" si="20"/>
        <v>14.325076506750001</v>
      </c>
      <c r="R34" s="2">
        <f t="shared" ref="R34:S34" si="21">SUM(R31:R33)</f>
        <v>4416.1054054054057</v>
      </c>
      <c r="S34" s="1">
        <f t="shared" si="21"/>
        <v>11.790239654250001</v>
      </c>
      <c r="AC34" s="2">
        <f t="shared" ref="AC34:AD34" si="22">SUM(AC31:AC33)</f>
        <v>3268.7120120120126</v>
      </c>
      <c r="AD34" s="1">
        <f t="shared" si="22"/>
        <v>8.7268972192499987</v>
      </c>
    </row>
    <row r="35" spans="6:30" ht="15.75" customHeight="1" x14ac:dyDescent="0.35"/>
    <row r="36" spans="6:30" ht="15.75" customHeight="1" x14ac:dyDescent="0.35">
      <c r="F36" s="1" t="s">
        <v>15</v>
      </c>
      <c r="G36" s="1" t="s">
        <v>16</v>
      </c>
      <c r="H36" s="1" t="s">
        <v>17</v>
      </c>
      <c r="Q36" s="1" t="s">
        <v>15</v>
      </c>
      <c r="R36" s="1" t="s">
        <v>16</v>
      </c>
      <c r="S36" s="1" t="s">
        <v>17</v>
      </c>
      <c r="AB36" s="1" t="s">
        <v>15</v>
      </c>
      <c r="AC36" s="1" t="s">
        <v>16</v>
      </c>
      <c r="AD36" s="1" t="s">
        <v>17</v>
      </c>
    </row>
    <row r="37" spans="6:30" ht="15.75" customHeight="1" x14ac:dyDescent="0.35">
      <c r="F37" s="13" t="s">
        <v>21</v>
      </c>
      <c r="G37" s="3">
        <f>G31/$G$34</f>
        <v>0.39079576886462902</v>
      </c>
      <c r="H37" s="3">
        <f>H31/$H$34</f>
        <v>0.39079576886462902</v>
      </c>
      <c r="Q37" s="13" t="s">
        <v>21</v>
      </c>
      <c r="R37" s="3">
        <f>R31/$R$34</f>
        <v>0.25982020084687285</v>
      </c>
      <c r="S37" s="3">
        <f>S31/$S$34</f>
        <v>0.25982020084687285</v>
      </c>
      <c r="AB37" s="13" t="s">
        <v>21</v>
      </c>
      <c r="AC37" s="3">
        <f>AC31/$AC$34</f>
        <v>0</v>
      </c>
      <c r="AD37" s="3">
        <f>AD31/$AD$34</f>
        <v>0</v>
      </c>
    </row>
    <row r="38" spans="6:30" ht="15.75" customHeight="1" x14ac:dyDescent="0.35">
      <c r="F38" s="13" t="s">
        <v>22</v>
      </c>
      <c r="G38" s="3">
        <f>G32/$G$34</f>
        <v>0.43989753102056328</v>
      </c>
      <c r="H38" s="3">
        <f>H32/$H$34</f>
        <v>0.43989753102056317</v>
      </c>
      <c r="Q38" s="13" t="s">
        <v>22</v>
      </c>
      <c r="R38" s="3">
        <f t="shared" ref="R38:R39" si="23">R32/$R$34</f>
        <v>0.53447308721400666</v>
      </c>
      <c r="S38" s="3">
        <f t="shared" ref="S38:S39" si="24">S32/$S$34</f>
        <v>0.53447308721400655</v>
      </c>
      <c r="AB38" s="13" t="s">
        <v>22</v>
      </c>
      <c r="AC38" s="3">
        <f t="shared" ref="AC38:AC39" si="25">AC32/$AC$34</f>
        <v>0.72208548223758773</v>
      </c>
      <c r="AD38" s="3">
        <f t="shared" ref="AD38:AD39" si="26">AD32/$AD$34</f>
        <v>0.72208548223758784</v>
      </c>
    </row>
    <row r="39" spans="6:30" ht="15.75" customHeight="1" x14ac:dyDescent="0.35">
      <c r="F39" s="13" t="s">
        <v>23</v>
      </c>
      <c r="G39" s="3">
        <f>G33/$G$34</f>
        <v>0.16930670011480775</v>
      </c>
      <c r="H39" s="3">
        <f>H33/$H$34</f>
        <v>0.16930670011480775</v>
      </c>
      <c r="Q39" s="13" t="s">
        <v>23</v>
      </c>
      <c r="R39" s="3">
        <f t="shared" si="23"/>
        <v>0.20570671193912043</v>
      </c>
      <c r="S39" s="3">
        <f t="shared" si="24"/>
        <v>0.20570671193912046</v>
      </c>
      <c r="AB39" s="13" t="s">
        <v>23</v>
      </c>
      <c r="AC39" s="3">
        <f t="shared" si="25"/>
        <v>0.27791451776241216</v>
      </c>
      <c r="AD39" s="3">
        <f t="shared" si="26"/>
        <v>0.27791451776241227</v>
      </c>
    </row>
    <row r="40" spans="6:30" ht="15.75" customHeight="1" x14ac:dyDescent="0.35">
      <c r="G40" s="2">
        <f t="shared" ref="G40:H40" si="27">SUM(G37:G39)</f>
        <v>1</v>
      </c>
      <c r="H40" s="3">
        <f t="shared" si="27"/>
        <v>0.99999999999999989</v>
      </c>
      <c r="R40" s="2">
        <f>SUM(R37:R39)</f>
        <v>1</v>
      </c>
      <c r="S40" s="3">
        <f>SUM(S37:S39)</f>
        <v>0.99999999999999989</v>
      </c>
      <c r="AC40" s="2">
        <f>SUM(AC37:AC39)</f>
        <v>0.99999999999999989</v>
      </c>
      <c r="AD40" s="3">
        <f>SUM(AD37:AD39)</f>
        <v>1</v>
      </c>
    </row>
    <row r="41" spans="6:30" ht="15.75" customHeight="1" x14ac:dyDescent="0.35"/>
    <row r="42" spans="6:30" ht="15.75" customHeight="1" x14ac:dyDescent="0.35"/>
    <row r="43" spans="6:30" ht="15.75" customHeight="1" x14ac:dyDescent="0.35"/>
    <row r="44" spans="6:30" ht="15.75" customHeight="1" x14ac:dyDescent="0.35"/>
    <row r="45" spans="6:30" ht="15.75" customHeight="1" x14ac:dyDescent="0.35"/>
    <row r="46" spans="6:30" ht="15.75" customHeight="1" x14ac:dyDescent="0.35"/>
    <row r="47" spans="6:30" ht="15.75" customHeight="1" x14ac:dyDescent="0.35"/>
    <row r="48" spans="6:30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F5:N5"/>
    <mergeCell ref="Q5:Y5"/>
    <mergeCell ref="AB5:AJ5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1000"/>
  <sheetViews>
    <sheetView tabSelected="1" topLeftCell="AA16" workbookViewId="0">
      <selection activeCell="J5" sqref="J5"/>
    </sheetView>
  </sheetViews>
  <sheetFormatPr baseColWidth="10" defaultColWidth="12.54296875" defaultRowHeight="15" customHeight="1" x14ac:dyDescent="0.35"/>
  <cols>
    <col min="1" max="1" width="15.453125" customWidth="1"/>
    <col min="2" max="3" width="10.54296875" customWidth="1"/>
    <col min="4" max="4" width="15.1796875" bestFit="1" customWidth="1"/>
    <col min="5" max="14" width="10.54296875" customWidth="1"/>
    <col min="15" max="16" width="15.1796875" bestFit="1" customWidth="1"/>
    <col min="17" max="17" width="12.7265625" customWidth="1"/>
    <col min="18" max="22" width="10.54296875" customWidth="1"/>
    <col min="23" max="23" width="11.81640625" bestFit="1" customWidth="1"/>
    <col min="24" max="28" width="10.54296875" customWidth="1"/>
    <col min="29" max="29" width="15.1796875" bestFit="1" customWidth="1"/>
    <col min="30" max="31" width="10.54296875" customWidth="1"/>
  </cols>
  <sheetData>
    <row r="2" spans="1:39" ht="15" customHeight="1" x14ac:dyDescent="0.35">
      <c r="D2" s="24" t="s">
        <v>27</v>
      </c>
      <c r="E2" s="23"/>
      <c r="F2" s="23"/>
      <c r="G2" s="23"/>
      <c r="H2" s="23"/>
      <c r="I2" s="23"/>
      <c r="J2" s="23"/>
      <c r="K2" s="23"/>
      <c r="L2" s="23"/>
      <c r="M2" s="23"/>
      <c r="P2" s="24" t="s">
        <v>28</v>
      </c>
      <c r="Q2" s="23"/>
      <c r="R2" s="23"/>
      <c r="S2" s="23"/>
      <c r="T2" s="23"/>
      <c r="U2" s="23"/>
      <c r="V2" s="23"/>
      <c r="W2" s="23"/>
      <c r="X2" s="23"/>
      <c r="Y2" s="23"/>
      <c r="Z2" s="23"/>
      <c r="AC2" s="24" t="s">
        <v>29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 spans="1:39" ht="14.5" x14ac:dyDescent="0.35">
      <c r="A3" s="1" t="s">
        <v>1</v>
      </c>
      <c r="B3" s="1" t="s">
        <v>2</v>
      </c>
      <c r="D3" s="1" t="s">
        <v>4</v>
      </c>
      <c r="E3" s="1" t="s">
        <v>18</v>
      </c>
      <c r="F3" s="1" t="s">
        <v>5</v>
      </c>
      <c r="G3" s="1" t="s">
        <v>7</v>
      </c>
      <c r="H3" s="1" t="s">
        <v>9</v>
      </c>
      <c r="I3" s="1" t="s">
        <v>13</v>
      </c>
      <c r="J3" s="1" t="s">
        <v>14</v>
      </c>
      <c r="K3" s="1" t="s">
        <v>3</v>
      </c>
      <c r="L3" s="1" t="s">
        <v>8</v>
      </c>
      <c r="M3" s="1" t="s">
        <v>10</v>
      </c>
      <c r="O3" s="1"/>
      <c r="P3" s="1" t="s">
        <v>4</v>
      </c>
      <c r="Q3" s="1" t="s">
        <v>18</v>
      </c>
      <c r="R3" s="1" t="s">
        <v>5</v>
      </c>
      <c r="S3" s="1" t="s">
        <v>7</v>
      </c>
      <c r="T3" s="1" t="s">
        <v>9</v>
      </c>
      <c r="U3" s="1" t="s">
        <v>13</v>
      </c>
      <c r="V3" s="1" t="s">
        <v>14</v>
      </c>
      <c r="W3" s="21" t="s">
        <v>33</v>
      </c>
      <c r="X3" s="1" t="s">
        <v>3</v>
      </c>
      <c r="Y3" s="1" t="s">
        <v>8</v>
      </c>
      <c r="Z3" s="1" t="s">
        <v>10</v>
      </c>
      <c r="AC3" s="1" t="s">
        <v>4</v>
      </c>
      <c r="AD3" s="1" t="s">
        <v>18</v>
      </c>
      <c r="AE3" s="1" t="s">
        <v>5</v>
      </c>
      <c r="AF3" s="1" t="s">
        <v>7</v>
      </c>
      <c r="AG3" s="1" t="s">
        <v>9</v>
      </c>
      <c r="AH3" s="1" t="s">
        <v>13</v>
      </c>
      <c r="AI3" s="1" t="s">
        <v>14</v>
      </c>
      <c r="AJ3" s="21" t="s">
        <v>33</v>
      </c>
      <c r="AK3" s="1" t="s">
        <v>3</v>
      </c>
      <c r="AL3" s="1" t="s">
        <v>8</v>
      </c>
      <c r="AM3" s="1" t="s">
        <v>10</v>
      </c>
    </row>
    <row r="4" spans="1:39" ht="14.5" x14ac:dyDescent="0.35">
      <c r="A4" s="1">
        <v>832500</v>
      </c>
      <c r="B4" s="1">
        <v>0.5</v>
      </c>
      <c r="D4" s="1">
        <v>8</v>
      </c>
      <c r="E4" s="1">
        <v>0</v>
      </c>
      <c r="F4" s="1">
        <f>2*1825*E4</f>
        <v>0</v>
      </c>
      <c r="G4" s="9">
        <v>0</v>
      </c>
      <c r="H4" s="1">
        <f t="shared" ref="H4:H24" si="0">(F4*G4)/$A$4</f>
        <v>0</v>
      </c>
      <c r="I4" s="1">
        <f t="shared" ref="I4:I24" si="1">H4*1000</f>
        <v>0</v>
      </c>
      <c r="J4" s="1">
        <f>I4*B4</f>
        <v>0</v>
      </c>
      <c r="K4" s="1">
        <f>2*217.575</f>
        <v>435.15</v>
      </c>
      <c r="L4" s="1">
        <v>0</v>
      </c>
      <c r="M4" s="1">
        <f t="shared" ref="M4:M24" si="2">(G4*F4*0.5*3.207)/(1000000)</f>
        <v>0</v>
      </c>
      <c r="O4" s="1"/>
      <c r="P4" s="1">
        <v>8</v>
      </c>
      <c r="Q4" s="1">
        <v>0</v>
      </c>
      <c r="R4" s="1">
        <f>2*1825*Q4</f>
        <v>0</v>
      </c>
      <c r="S4" s="9">
        <v>0</v>
      </c>
      <c r="T4" s="1">
        <f t="shared" ref="T4" si="3">(R4*S4)/$A$4</f>
        <v>0</v>
      </c>
      <c r="U4" s="1">
        <f t="shared" ref="U4" si="4">T4*1000</f>
        <v>0</v>
      </c>
      <c r="V4" s="1">
        <f>U4*N4</f>
        <v>0</v>
      </c>
      <c r="W4" s="1">
        <v>193.864</v>
      </c>
      <c r="X4" s="1">
        <f>2*217.575</f>
        <v>435.15</v>
      </c>
      <c r="Y4" s="1">
        <v>0</v>
      </c>
      <c r="Z4" s="1">
        <f t="shared" ref="Z4" si="5">(S4*R4*0.5*3.207)/(1000000)</f>
        <v>0</v>
      </c>
      <c r="AC4" s="1">
        <v>8</v>
      </c>
      <c r="AD4" s="1">
        <v>0</v>
      </c>
      <c r="AE4" s="1">
        <f>2*1825*AD4</f>
        <v>0</v>
      </c>
      <c r="AF4" s="9">
        <v>0</v>
      </c>
      <c r="AG4" s="1">
        <f t="shared" ref="AG4" si="6">(AE4*AF4)/$A$4</f>
        <v>0</v>
      </c>
      <c r="AH4" s="1">
        <f t="shared" ref="AH4" si="7">AG4*1000</f>
        <v>0</v>
      </c>
      <c r="AI4" s="1">
        <f>AH4*AA4</f>
        <v>0</v>
      </c>
      <c r="AJ4" s="1">
        <v>193.864</v>
      </c>
      <c r="AK4" s="1">
        <f>2*217.575</f>
        <v>435.15</v>
      </c>
      <c r="AL4" s="1">
        <v>0</v>
      </c>
      <c r="AM4" s="1">
        <f t="shared" ref="AM4" si="8">(AF4*AE4*0.5*3.207)/(1000000)</f>
        <v>0</v>
      </c>
    </row>
    <row r="5" spans="1:39" ht="14.5" x14ac:dyDescent="0.35">
      <c r="D5" s="1">
        <v>8.5</v>
      </c>
      <c r="E5" s="1">
        <v>0.1</v>
      </c>
      <c r="F5" s="1">
        <f t="shared" ref="F5:F24" si="9">2*1825*E5</f>
        <v>365</v>
      </c>
      <c r="G5" s="1">
        <f>2*311.1</f>
        <v>622.20000000000005</v>
      </c>
      <c r="H5" s="1">
        <f>(F5*G5)/$A$4</f>
        <v>0.27279639639639641</v>
      </c>
      <c r="I5" s="1">
        <f>H5*1000</f>
        <v>272.7963963963964</v>
      </c>
      <c r="J5" s="1">
        <f t="shared" ref="J5:J24" si="10">I5*$B$4+J4</f>
        <v>136.3981981981982</v>
      </c>
      <c r="L5" s="1">
        <f t="shared" ref="L5:L12" si="11">100*$K$4/G5</f>
        <v>69.937319189971063</v>
      </c>
      <c r="M5" s="1">
        <f>(G5*F5*0.5*3.207)/(1000000)</f>
        <v>0.36415966050000004</v>
      </c>
      <c r="O5" s="1"/>
      <c r="P5" s="1">
        <v>8.5</v>
      </c>
      <c r="Q5" s="1">
        <v>0.1</v>
      </c>
      <c r="R5" s="8">
        <f t="shared" ref="R5:R24" si="12">2*1825*Q5</f>
        <v>365</v>
      </c>
      <c r="S5" s="1">
        <v>0</v>
      </c>
      <c r="T5" s="1">
        <f>(R5*S5)/$A$4</f>
        <v>0</v>
      </c>
      <c r="U5" s="1">
        <f>T5*1000</f>
        <v>0</v>
      </c>
      <c r="V5" s="1">
        <f t="shared" ref="V5:V24" si="13">U5*$B$4+V4</f>
        <v>0</v>
      </c>
      <c r="W5" s="1"/>
      <c r="Y5" s="1">
        <v>0</v>
      </c>
      <c r="Z5" s="1">
        <f>(S5*R5*0.5*3.207)/(1000000)</f>
        <v>0</v>
      </c>
      <c r="AC5" s="1">
        <v>8.5</v>
      </c>
      <c r="AD5" s="1">
        <v>0.1</v>
      </c>
      <c r="AE5" s="8">
        <f t="shared" ref="AE5:AE24" si="14">2*1825*AD5</f>
        <v>365</v>
      </c>
      <c r="AF5" s="1">
        <v>0</v>
      </c>
      <c r="AG5" s="1">
        <f>(AE5*AF5)/$A$4</f>
        <v>0</v>
      </c>
      <c r="AH5" s="1">
        <f>AG5*1000</f>
        <v>0</v>
      </c>
      <c r="AI5" s="1">
        <f t="shared" ref="AI5:AI24" si="15">AH5*$B$4+AI4</f>
        <v>0</v>
      </c>
      <c r="AJ5" s="1"/>
      <c r="AL5" s="1">
        <v>0</v>
      </c>
      <c r="AM5" s="1">
        <f>(AF5*AE5*0.5*3.207)/(1000000)</f>
        <v>0</v>
      </c>
    </row>
    <row r="6" spans="1:39" ht="14.5" x14ac:dyDescent="0.35">
      <c r="D6" s="1">
        <v>9</v>
      </c>
      <c r="E6" s="1">
        <v>0.25</v>
      </c>
      <c r="F6" s="1">
        <f t="shared" si="9"/>
        <v>912.5</v>
      </c>
      <c r="G6" s="1">
        <f>2*261.7</f>
        <v>523.4</v>
      </c>
      <c r="H6" s="1">
        <f t="shared" si="0"/>
        <v>0.57369669669669665</v>
      </c>
      <c r="I6" s="1">
        <f t="shared" si="1"/>
        <v>573.69669669669668</v>
      </c>
      <c r="J6" s="1">
        <f t="shared" si="10"/>
        <v>423.24654654654654</v>
      </c>
      <c r="L6" s="1">
        <f t="shared" si="11"/>
        <v>83.139090561711882</v>
      </c>
      <c r="M6" s="1">
        <f>(G6*F6*0.5*3.207)/(1000000)</f>
        <v>0.76583560875000001</v>
      </c>
      <c r="O6" s="1"/>
      <c r="P6" s="1">
        <v>9</v>
      </c>
      <c r="Q6" s="1">
        <v>0.25</v>
      </c>
      <c r="R6" s="19">
        <f t="shared" si="12"/>
        <v>912.5</v>
      </c>
      <c r="S6" s="1">
        <f>217.564</f>
        <v>217.56399999999999</v>
      </c>
      <c r="T6" s="1">
        <f t="shared" ref="T6:T24" si="16">(R6*S6)/$A$4</f>
        <v>0.23847105105105104</v>
      </c>
      <c r="U6" s="1">
        <f t="shared" ref="U6:U24" si="17">T6*1000</f>
        <v>238.47105105105103</v>
      </c>
      <c r="V6" s="1">
        <f t="shared" si="13"/>
        <v>119.23552552552552</v>
      </c>
      <c r="W6" s="1"/>
      <c r="Y6" s="1">
        <f>100*$W$4/S6</f>
        <v>89.106653674321123</v>
      </c>
      <c r="Z6" s="1">
        <f>(S6*R6*0.5*3.207)/(1000000)</f>
        <v>0.318338285025</v>
      </c>
      <c r="AC6" s="1">
        <v>9</v>
      </c>
      <c r="AD6" s="1">
        <v>0.25</v>
      </c>
      <c r="AE6" s="15">
        <f t="shared" si="14"/>
        <v>912.5</v>
      </c>
      <c r="AF6" s="1">
        <v>0</v>
      </c>
      <c r="AG6" s="1">
        <f t="shared" ref="AG6:AG24" si="18">(AE6*AF6)/$A$4</f>
        <v>0</v>
      </c>
      <c r="AH6" s="1">
        <f t="shared" ref="AH6:AH24" si="19">AG6*1000</f>
        <v>0</v>
      </c>
      <c r="AI6" s="1">
        <f t="shared" si="15"/>
        <v>0</v>
      </c>
      <c r="AJ6" s="1"/>
      <c r="AL6" s="1">
        <v>0</v>
      </c>
      <c r="AM6" s="1">
        <f>(AF6*AE6*0.5*3.207)/(1000000)</f>
        <v>0</v>
      </c>
    </row>
    <row r="7" spans="1:39" ht="14.5" x14ac:dyDescent="0.35">
      <c r="D7" s="1">
        <v>9.5</v>
      </c>
      <c r="E7" s="1">
        <v>0.4</v>
      </c>
      <c r="F7" s="1">
        <f t="shared" si="9"/>
        <v>1460</v>
      </c>
      <c r="G7" s="1">
        <f>2*235.3</f>
        <v>470.6</v>
      </c>
      <c r="H7" s="1">
        <f t="shared" si="0"/>
        <v>0.8253165165165165</v>
      </c>
      <c r="I7" s="1">
        <f t="shared" si="1"/>
        <v>825.31651651651646</v>
      </c>
      <c r="J7" s="1">
        <f t="shared" si="10"/>
        <v>835.90480480480483</v>
      </c>
      <c r="L7" s="1">
        <f t="shared" si="11"/>
        <v>92.467063323416909</v>
      </c>
      <c r="M7" s="1">
        <f t="shared" si="2"/>
        <v>1.1017263659999998</v>
      </c>
      <c r="O7" s="1"/>
      <c r="P7" s="1">
        <v>9.5</v>
      </c>
      <c r="Q7" s="1">
        <v>0.4</v>
      </c>
      <c r="R7" s="19">
        <f t="shared" si="12"/>
        <v>1460</v>
      </c>
      <c r="S7" s="1">
        <v>201.215</v>
      </c>
      <c r="T7" s="1">
        <f t="shared" si="16"/>
        <v>0.35288156156156159</v>
      </c>
      <c r="U7" s="1">
        <f t="shared" si="17"/>
        <v>352.88156156156157</v>
      </c>
      <c r="V7" s="1">
        <f t="shared" si="13"/>
        <v>295.67630630630629</v>
      </c>
      <c r="W7" s="1"/>
      <c r="Y7" s="1">
        <f>100*$W$4/S7</f>
        <v>96.346693834952674</v>
      </c>
      <c r="Z7" s="1">
        <f t="shared" ref="Z7:Z24" si="20">(S7*R7*0.5*3.207)/(1000000)</f>
        <v>0.47106644865000002</v>
      </c>
      <c r="AC7" s="1">
        <v>9.5</v>
      </c>
      <c r="AD7" s="1">
        <v>0.4</v>
      </c>
      <c r="AE7" s="19">
        <f t="shared" si="14"/>
        <v>1460</v>
      </c>
      <c r="AF7" s="1">
        <v>201.215</v>
      </c>
      <c r="AG7" s="1">
        <f>(AE7*AF7)/$A$4</f>
        <v>0.35288156156156159</v>
      </c>
      <c r="AH7" s="1">
        <f t="shared" si="19"/>
        <v>352.88156156156157</v>
      </c>
      <c r="AI7" s="1">
        <f t="shared" si="15"/>
        <v>176.44078078078078</v>
      </c>
      <c r="AJ7" s="1"/>
      <c r="AL7" s="1">
        <f>100*$AJ$4/AF7</f>
        <v>96.346693834952674</v>
      </c>
      <c r="AM7" s="1">
        <f t="shared" ref="AM7:AM24" si="21">(AF7*AE7*0.5*3.207)/(1000000)</f>
        <v>0.47106644865000002</v>
      </c>
    </row>
    <row r="8" spans="1:39" ht="14.5" x14ac:dyDescent="0.35">
      <c r="D8" s="1">
        <v>10</v>
      </c>
      <c r="E8" s="1">
        <v>0.95</v>
      </c>
      <c r="F8" s="1">
        <f t="shared" si="9"/>
        <v>3467.5</v>
      </c>
      <c r="G8" s="1">
        <v>436.2</v>
      </c>
      <c r="H8" s="1">
        <f t="shared" si="0"/>
        <v>1.8168450450450451</v>
      </c>
      <c r="I8" s="1">
        <f t="shared" si="1"/>
        <v>1816.845045045045</v>
      </c>
      <c r="J8" s="1">
        <f t="shared" si="10"/>
        <v>1744.3273273273273</v>
      </c>
      <c r="L8" s="1">
        <f t="shared" si="11"/>
        <v>99.759284731774414</v>
      </c>
      <c r="M8" s="1">
        <f t="shared" si="2"/>
        <v>2.4253314322500001</v>
      </c>
      <c r="O8" s="1"/>
      <c r="P8" s="1">
        <v>10</v>
      </c>
      <c r="Q8" s="1">
        <v>0.95</v>
      </c>
      <c r="R8" s="1">
        <f t="shared" si="12"/>
        <v>3467.5</v>
      </c>
      <c r="S8" s="1">
        <v>436.2</v>
      </c>
      <c r="T8" s="1">
        <f t="shared" si="16"/>
        <v>1.8168450450450451</v>
      </c>
      <c r="U8" s="1">
        <f t="shared" si="17"/>
        <v>1816.845045045045</v>
      </c>
      <c r="V8" s="1">
        <f t="shared" si="13"/>
        <v>1204.0988288288288</v>
      </c>
      <c r="W8" s="1"/>
      <c r="Y8" s="1">
        <f t="shared" ref="Y8:Y9" si="22">100*$K$4/S8</f>
        <v>99.759284731774414</v>
      </c>
      <c r="Z8" s="1">
        <f t="shared" si="20"/>
        <v>2.4253314322500001</v>
      </c>
      <c r="AC8" s="1">
        <v>10</v>
      </c>
      <c r="AD8" s="1">
        <v>0.95</v>
      </c>
      <c r="AE8" s="1">
        <f t="shared" si="14"/>
        <v>3467.5</v>
      </c>
      <c r="AF8" s="1">
        <v>436.2</v>
      </c>
      <c r="AG8" s="1">
        <f t="shared" si="18"/>
        <v>1.8168450450450451</v>
      </c>
      <c r="AH8" s="1">
        <f t="shared" si="19"/>
        <v>1816.845045045045</v>
      </c>
      <c r="AI8" s="1">
        <f t="shared" si="15"/>
        <v>1084.8633033033034</v>
      </c>
      <c r="AJ8" s="1"/>
      <c r="AL8" s="1">
        <f t="shared" ref="AL8:AL9" si="23">100*$K$4/AF8</f>
        <v>99.759284731774414</v>
      </c>
      <c r="AM8" s="1">
        <f t="shared" si="21"/>
        <v>2.4253314322500001</v>
      </c>
    </row>
    <row r="9" spans="1:39" ht="14.5" x14ac:dyDescent="0.35">
      <c r="D9" s="1">
        <v>10.5</v>
      </c>
      <c r="E9" s="1">
        <v>0.75</v>
      </c>
      <c r="F9" s="1">
        <f t="shared" si="9"/>
        <v>2737.5</v>
      </c>
      <c r="G9" s="1">
        <f>2*218.1</f>
        <v>436.2</v>
      </c>
      <c r="H9" s="1">
        <f t="shared" si="0"/>
        <v>1.4343513513513513</v>
      </c>
      <c r="I9" s="1">
        <f t="shared" si="1"/>
        <v>1434.3513513513512</v>
      </c>
      <c r="J9" s="1">
        <f t="shared" si="10"/>
        <v>2461.503003003003</v>
      </c>
      <c r="L9" s="1">
        <f t="shared" si="11"/>
        <v>99.759284731774414</v>
      </c>
      <c r="M9" s="1">
        <f t="shared" si="2"/>
        <v>1.9147353412499999</v>
      </c>
      <c r="O9" s="1"/>
      <c r="P9" s="1">
        <v>10.5</v>
      </c>
      <c r="Q9" s="1">
        <v>0.75</v>
      </c>
      <c r="R9" s="1">
        <f t="shared" si="12"/>
        <v>2737.5</v>
      </c>
      <c r="S9" s="1">
        <v>436.2</v>
      </c>
      <c r="T9" s="1">
        <f t="shared" si="16"/>
        <v>1.4343513513513513</v>
      </c>
      <c r="U9" s="1">
        <f t="shared" si="17"/>
        <v>1434.3513513513512</v>
      </c>
      <c r="V9" s="1">
        <f t="shared" si="13"/>
        <v>1921.2745045045044</v>
      </c>
      <c r="W9" s="1"/>
      <c r="Y9" s="1">
        <f t="shared" si="22"/>
        <v>99.759284731774414</v>
      </c>
      <c r="Z9" s="1">
        <f t="shared" si="20"/>
        <v>1.9147353412499999</v>
      </c>
      <c r="AC9" s="1">
        <v>10.5</v>
      </c>
      <c r="AD9" s="1">
        <v>0.75</v>
      </c>
      <c r="AE9" s="1">
        <f t="shared" si="14"/>
        <v>2737.5</v>
      </c>
      <c r="AF9" s="1">
        <v>436.2</v>
      </c>
      <c r="AG9" s="1">
        <f t="shared" si="18"/>
        <v>1.4343513513513513</v>
      </c>
      <c r="AH9" s="1">
        <f t="shared" si="19"/>
        <v>1434.3513513513512</v>
      </c>
      <c r="AI9" s="1">
        <f t="shared" si="15"/>
        <v>1802.038978978979</v>
      </c>
      <c r="AJ9" s="1"/>
      <c r="AL9" s="1">
        <f t="shared" si="23"/>
        <v>99.759284731774414</v>
      </c>
      <c r="AM9" s="1">
        <f t="shared" si="21"/>
        <v>1.9147353412499999</v>
      </c>
    </row>
    <row r="10" spans="1:39" ht="14.5" x14ac:dyDescent="0.35">
      <c r="D10" s="2">
        <v>11</v>
      </c>
      <c r="E10" s="1">
        <v>0.35</v>
      </c>
      <c r="F10" s="1">
        <f t="shared" si="9"/>
        <v>1277.5</v>
      </c>
      <c r="G10" s="1">
        <v>484</v>
      </c>
      <c r="H10" s="1">
        <f t="shared" si="0"/>
        <v>0.74271471471471473</v>
      </c>
      <c r="I10" s="1">
        <f t="shared" si="1"/>
        <v>742.71471471471477</v>
      </c>
      <c r="J10" s="1">
        <f t="shared" si="10"/>
        <v>2832.8603603603606</v>
      </c>
      <c r="L10" s="1">
        <f t="shared" si="11"/>
        <v>89.90702479338843</v>
      </c>
      <c r="M10" s="1">
        <f t="shared" si="2"/>
        <v>0.99146008499999994</v>
      </c>
      <c r="O10" s="1"/>
      <c r="P10" s="2">
        <v>11</v>
      </c>
      <c r="Q10" s="1">
        <v>0.35</v>
      </c>
      <c r="R10" s="19">
        <f t="shared" si="12"/>
        <v>1277.5</v>
      </c>
      <c r="S10" s="1">
        <v>205.42</v>
      </c>
      <c r="T10" s="1">
        <f t="shared" si="16"/>
        <v>0.31522408408408409</v>
      </c>
      <c r="U10" s="1">
        <f t="shared" si="17"/>
        <v>315.2240840840841</v>
      </c>
      <c r="V10" s="1">
        <f t="shared" si="13"/>
        <v>2078.8865465465465</v>
      </c>
      <c r="W10" s="1"/>
      <c r="Y10" s="1">
        <f>100*$W$4/S10</f>
        <v>94.374452341544171</v>
      </c>
      <c r="Z10" s="1">
        <f t="shared" si="20"/>
        <v>0.42079696417499995</v>
      </c>
      <c r="AC10" s="2">
        <v>11</v>
      </c>
      <c r="AD10" s="1">
        <v>0.35</v>
      </c>
      <c r="AE10" s="19">
        <f t="shared" si="14"/>
        <v>1277.5</v>
      </c>
      <c r="AF10" s="1">
        <v>205.42</v>
      </c>
      <c r="AG10" s="1">
        <f t="shared" si="18"/>
        <v>0.31522408408408409</v>
      </c>
      <c r="AH10" s="1">
        <f t="shared" si="19"/>
        <v>315.2240840840841</v>
      </c>
      <c r="AI10" s="1">
        <f t="shared" si="15"/>
        <v>1959.6510210210211</v>
      </c>
      <c r="AJ10" s="1"/>
      <c r="AL10" s="1">
        <f>100*$AJ$4/AF10</f>
        <v>94.374452341544171</v>
      </c>
      <c r="AM10" s="1">
        <f t="shared" si="21"/>
        <v>0.42079696417499995</v>
      </c>
    </row>
    <row r="11" spans="1:39" ht="14.5" x14ac:dyDescent="0.35">
      <c r="D11" s="4">
        <v>11.5</v>
      </c>
      <c r="E11" s="1">
        <v>0.15</v>
      </c>
      <c r="F11" s="1">
        <f t="shared" si="9"/>
        <v>547.5</v>
      </c>
      <c r="G11" s="1">
        <v>582.20000000000005</v>
      </c>
      <c r="H11" s="1">
        <f t="shared" si="0"/>
        <v>0.3828882882882883</v>
      </c>
      <c r="I11" s="1">
        <f t="shared" si="1"/>
        <v>382.88828828828832</v>
      </c>
      <c r="J11" s="1">
        <f t="shared" si="10"/>
        <v>3024.3045045045046</v>
      </c>
      <c r="L11" s="1">
        <f t="shared" si="11"/>
        <v>74.742356578495361</v>
      </c>
      <c r="M11" s="1">
        <f t="shared" si="2"/>
        <v>0.51112284075000003</v>
      </c>
      <c r="O11" s="1"/>
      <c r="P11" s="4">
        <v>11.5</v>
      </c>
      <c r="Q11" s="1">
        <v>0.15</v>
      </c>
      <c r="R11" s="8">
        <f t="shared" si="12"/>
        <v>547.5</v>
      </c>
      <c r="S11" s="1">
        <v>0</v>
      </c>
      <c r="T11" s="1">
        <f t="shared" si="16"/>
        <v>0</v>
      </c>
      <c r="U11" s="1">
        <f t="shared" si="17"/>
        <v>0</v>
      </c>
      <c r="V11" s="1">
        <f t="shared" si="13"/>
        <v>2078.8865465465465</v>
      </c>
      <c r="W11" s="1"/>
      <c r="Y11" s="1">
        <v>0</v>
      </c>
      <c r="Z11" s="1">
        <f t="shared" si="20"/>
        <v>0</v>
      </c>
      <c r="AC11" s="4">
        <v>11.5</v>
      </c>
      <c r="AD11" s="1">
        <v>0.15</v>
      </c>
      <c r="AE11" s="8">
        <f t="shared" si="14"/>
        <v>547.5</v>
      </c>
      <c r="AF11" s="1">
        <v>0</v>
      </c>
      <c r="AG11" s="1">
        <f t="shared" si="18"/>
        <v>0</v>
      </c>
      <c r="AH11" s="1">
        <f t="shared" si="19"/>
        <v>0</v>
      </c>
      <c r="AI11" s="1">
        <f t="shared" si="15"/>
        <v>1959.6510210210211</v>
      </c>
      <c r="AJ11" s="1"/>
      <c r="AL11" s="1">
        <v>0</v>
      </c>
      <c r="AM11" s="1">
        <f t="shared" si="21"/>
        <v>0</v>
      </c>
    </row>
    <row r="12" spans="1:39" ht="14.5" x14ac:dyDescent="0.35">
      <c r="D12" s="2">
        <v>12</v>
      </c>
      <c r="E12" s="1">
        <v>0.05</v>
      </c>
      <c r="F12" s="1">
        <f t="shared" si="9"/>
        <v>182.5</v>
      </c>
      <c r="G12" s="1">
        <v>670</v>
      </c>
      <c r="H12" s="1">
        <f t="shared" si="0"/>
        <v>0.14687687687687687</v>
      </c>
      <c r="I12" s="1">
        <f t="shared" si="1"/>
        <v>146.87687687687688</v>
      </c>
      <c r="J12" s="1">
        <f t="shared" si="10"/>
        <v>3097.742942942943</v>
      </c>
      <c r="L12" s="1">
        <f t="shared" si="11"/>
        <v>64.947761194029852</v>
      </c>
      <c r="M12" s="1">
        <f t="shared" si="2"/>
        <v>0.1960679625</v>
      </c>
      <c r="O12" s="1"/>
      <c r="P12" s="2">
        <v>12</v>
      </c>
      <c r="Q12" s="1">
        <v>0.05</v>
      </c>
      <c r="R12" s="8">
        <f t="shared" si="12"/>
        <v>182.5</v>
      </c>
      <c r="S12" s="1">
        <v>0</v>
      </c>
      <c r="T12" s="1">
        <f t="shared" si="16"/>
        <v>0</v>
      </c>
      <c r="U12" s="1">
        <f t="shared" si="17"/>
        <v>0</v>
      </c>
      <c r="V12" s="1">
        <f t="shared" si="13"/>
        <v>2078.8865465465465</v>
      </c>
      <c r="W12" s="1"/>
      <c r="Y12" s="1">
        <v>0</v>
      </c>
      <c r="Z12" s="1">
        <f t="shared" si="20"/>
        <v>0</v>
      </c>
      <c r="AC12" s="2">
        <v>12</v>
      </c>
      <c r="AD12" s="1">
        <v>0.05</v>
      </c>
      <c r="AE12" s="8">
        <f t="shared" si="14"/>
        <v>182.5</v>
      </c>
      <c r="AF12" s="1">
        <v>0</v>
      </c>
      <c r="AG12" s="1">
        <f t="shared" si="18"/>
        <v>0</v>
      </c>
      <c r="AH12" s="1">
        <f t="shared" si="19"/>
        <v>0</v>
      </c>
      <c r="AI12" s="1">
        <f t="shared" si="15"/>
        <v>1959.6510210210211</v>
      </c>
      <c r="AJ12" s="1"/>
      <c r="AL12" s="1">
        <v>0</v>
      </c>
      <c r="AM12" s="1">
        <f t="shared" si="21"/>
        <v>0</v>
      </c>
    </row>
    <row r="13" spans="1:39" ht="14.5" x14ac:dyDescent="0.35">
      <c r="D13" s="4">
        <v>12.5</v>
      </c>
      <c r="E13" s="1">
        <v>0</v>
      </c>
      <c r="F13" s="1">
        <f t="shared" si="9"/>
        <v>0</v>
      </c>
      <c r="G13" s="1">
        <v>0</v>
      </c>
      <c r="H13" s="1">
        <f t="shared" si="0"/>
        <v>0</v>
      </c>
      <c r="I13" s="1">
        <f t="shared" si="1"/>
        <v>0</v>
      </c>
      <c r="J13" s="1">
        <f t="shared" si="10"/>
        <v>3097.742942942943</v>
      </c>
      <c r="L13" s="1">
        <v>0</v>
      </c>
      <c r="M13" s="1">
        <f t="shared" si="2"/>
        <v>0</v>
      </c>
      <c r="O13" s="1"/>
      <c r="P13" s="4">
        <v>12.5</v>
      </c>
      <c r="Q13" s="1">
        <v>0</v>
      </c>
      <c r="R13" s="1">
        <f t="shared" si="12"/>
        <v>0</v>
      </c>
      <c r="S13" s="1">
        <v>0</v>
      </c>
      <c r="T13" s="1">
        <f t="shared" si="16"/>
        <v>0</v>
      </c>
      <c r="U13" s="1">
        <f t="shared" si="17"/>
        <v>0</v>
      </c>
      <c r="V13" s="1">
        <f t="shared" si="13"/>
        <v>2078.8865465465465</v>
      </c>
      <c r="W13" s="1"/>
      <c r="Y13" s="1">
        <v>0</v>
      </c>
      <c r="Z13" s="1">
        <f t="shared" si="20"/>
        <v>0</v>
      </c>
      <c r="AC13" s="4">
        <v>12.5</v>
      </c>
      <c r="AD13" s="1">
        <v>0</v>
      </c>
      <c r="AE13" s="1">
        <f t="shared" si="14"/>
        <v>0</v>
      </c>
      <c r="AF13" s="1">
        <v>0</v>
      </c>
      <c r="AG13" s="1">
        <f t="shared" si="18"/>
        <v>0</v>
      </c>
      <c r="AH13" s="1">
        <f t="shared" si="19"/>
        <v>0</v>
      </c>
      <c r="AI13" s="1">
        <f t="shared" si="15"/>
        <v>1959.6510210210211</v>
      </c>
      <c r="AJ13" s="1"/>
      <c r="AL13" s="1">
        <v>0</v>
      </c>
      <c r="AM13" s="1">
        <f t="shared" si="21"/>
        <v>0</v>
      </c>
    </row>
    <row r="14" spans="1:39" ht="14.5" x14ac:dyDescent="0.35">
      <c r="D14" s="2">
        <v>13</v>
      </c>
      <c r="E14" s="1">
        <v>0</v>
      </c>
      <c r="F14" s="1">
        <f t="shared" si="9"/>
        <v>0</v>
      </c>
      <c r="G14" s="1">
        <v>0</v>
      </c>
      <c r="H14" s="1">
        <f t="shared" si="0"/>
        <v>0</v>
      </c>
      <c r="I14" s="1">
        <f t="shared" si="1"/>
        <v>0</v>
      </c>
      <c r="J14" s="1">
        <f t="shared" si="10"/>
        <v>3097.742942942943</v>
      </c>
      <c r="L14" s="1">
        <v>0</v>
      </c>
      <c r="M14" s="1">
        <f t="shared" si="2"/>
        <v>0</v>
      </c>
      <c r="O14" s="1"/>
      <c r="P14" s="2">
        <v>13</v>
      </c>
      <c r="Q14" s="1">
        <v>0</v>
      </c>
      <c r="R14" s="1">
        <f t="shared" si="12"/>
        <v>0</v>
      </c>
      <c r="S14" s="1">
        <v>0</v>
      </c>
      <c r="T14" s="1">
        <f t="shared" si="16"/>
        <v>0</v>
      </c>
      <c r="U14" s="1">
        <f t="shared" si="17"/>
        <v>0</v>
      </c>
      <c r="V14" s="1">
        <f t="shared" si="13"/>
        <v>2078.8865465465465</v>
      </c>
      <c r="W14" s="1"/>
      <c r="Y14" s="1">
        <v>0</v>
      </c>
      <c r="Z14" s="1">
        <f t="shared" si="20"/>
        <v>0</v>
      </c>
      <c r="AC14" s="2">
        <v>13</v>
      </c>
      <c r="AD14" s="1">
        <v>0</v>
      </c>
      <c r="AE14" s="1">
        <f t="shared" si="14"/>
        <v>0</v>
      </c>
      <c r="AF14" s="1">
        <v>0</v>
      </c>
      <c r="AG14" s="1">
        <f t="shared" si="18"/>
        <v>0</v>
      </c>
      <c r="AH14" s="1">
        <f t="shared" si="19"/>
        <v>0</v>
      </c>
      <c r="AI14" s="1">
        <f t="shared" si="15"/>
        <v>1959.6510210210211</v>
      </c>
      <c r="AJ14" s="1"/>
      <c r="AL14" s="1">
        <v>0</v>
      </c>
      <c r="AM14" s="1">
        <f t="shared" si="21"/>
        <v>0</v>
      </c>
    </row>
    <row r="15" spans="1:39" ht="14.5" x14ac:dyDescent="0.35">
      <c r="D15" s="4">
        <v>13.5</v>
      </c>
      <c r="E15" s="1">
        <v>0</v>
      </c>
      <c r="F15" s="1">
        <f t="shared" si="9"/>
        <v>0</v>
      </c>
      <c r="G15" s="1">
        <v>0</v>
      </c>
      <c r="H15" s="1">
        <f t="shared" si="0"/>
        <v>0</v>
      </c>
      <c r="I15" s="1">
        <f t="shared" si="1"/>
        <v>0</v>
      </c>
      <c r="J15" s="1">
        <f t="shared" si="10"/>
        <v>3097.742942942943</v>
      </c>
      <c r="L15" s="1">
        <v>0</v>
      </c>
      <c r="M15" s="1">
        <f t="shared" si="2"/>
        <v>0</v>
      </c>
      <c r="O15" s="1"/>
      <c r="P15" s="4">
        <v>13.5</v>
      </c>
      <c r="Q15" s="1">
        <v>0</v>
      </c>
      <c r="R15" s="1">
        <f t="shared" si="12"/>
        <v>0</v>
      </c>
      <c r="S15" s="1">
        <v>0</v>
      </c>
      <c r="T15" s="1">
        <f t="shared" si="16"/>
        <v>0</v>
      </c>
      <c r="U15" s="1">
        <f t="shared" si="17"/>
        <v>0</v>
      </c>
      <c r="V15" s="1">
        <f t="shared" si="13"/>
        <v>2078.8865465465465</v>
      </c>
      <c r="W15" s="1"/>
      <c r="Y15" s="1">
        <v>0</v>
      </c>
      <c r="Z15" s="1">
        <f t="shared" si="20"/>
        <v>0</v>
      </c>
      <c r="AC15" s="4">
        <v>13.5</v>
      </c>
      <c r="AD15" s="1">
        <v>0</v>
      </c>
      <c r="AE15" s="1">
        <f t="shared" si="14"/>
        <v>0</v>
      </c>
      <c r="AF15" s="1">
        <v>0</v>
      </c>
      <c r="AG15" s="1">
        <f t="shared" si="18"/>
        <v>0</v>
      </c>
      <c r="AH15" s="1">
        <f t="shared" si="19"/>
        <v>0</v>
      </c>
      <c r="AI15" s="1">
        <f t="shared" si="15"/>
        <v>1959.6510210210211</v>
      </c>
      <c r="AJ15" s="1"/>
      <c r="AL15" s="1">
        <v>0</v>
      </c>
      <c r="AM15" s="1">
        <f t="shared" si="21"/>
        <v>0</v>
      </c>
    </row>
    <row r="16" spans="1:39" ht="14.5" x14ac:dyDescent="0.35">
      <c r="D16" s="2">
        <v>13.995357142857101</v>
      </c>
      <c r="E16" s="1">
        <v>0.05</v>
      </c>
      <c r="F16" s="1">
        <f t="shared" si="9"/>
        <v>182.5</v>
      </c>
      <c r="G16" s="1">
        <v>670</v>
      </c>
      <c r="H16" s="1">
        <f t="shared" si="0"/>
        <v>0.14687687687687687</v>
      </c>
      <c r="I16" s="1">
        <f t="shared" si="1"/>
        <v>146.87687687687688</v>
      </c>
      <c r="J16" s="1">
        <f t="shared" si="10"/>
        <v>3171.1813813813815</v>
      </c>
      <c r="L16" s="1">
        <f t="shared" ref="L16:L23" si="24">100*$K$4/G16</f>
        <v>64.947761194029852</v>
      </c>
      <c r="M16" s="1">
        <f t="shared" si="2"/>
        <v>0.1960679625</v>
      </c>
      <c r="P16" s="2">
        <v>13.995357142857101</v>
      </c>
      <c r="Q16" s="1">
        <v>0.05</v>
      </c>
      <c r="R16" s="8">
        <f t="shared" si="12"/>
        <v>182.5</v>
      </c>
      <c r="S16" s="1">
        <v>0</v>
      </c>
      <c r="T16" s="1">
        <f t="shared" si="16"/>
        <v>0</v>
      </c>
      <c r="U16" s="1">
        <f t="shared" si="17"/>
        <v>0</v>
      </c>
      <c r="V16" s="1">
        <f t="shared" si="13"/>
        <v>2078.8865465465465</v>
      </c>
      <c r="W16" s="1"/>
      <c r="Y16" s="1">
        <v>0</v>
      </c>
      <c r="Z16" s="1">
        <f t="shared" si="20"/>
        <v>0</v>
      </c>
      <c r="AC16" s="2">
        <v>13.995357142857101</v>
      </c>
      <c r="AD16" s="1">
        <v>0.05</v>
      </c>
      <c r="AE16" s="8">
        <f t="shared" si="14"/>
        <v>182.5</v>
      </c>
      <c r="AF16" s="1">
        <v>0</v>
      </c>
      <c r="AG16" s="1">
        <f t="shared" si="18"/>
        <v>0</v>
      </c>
      <c r="AH16" s="1">
        <f t="shared" si="19"/>
        <v>0</v>
      </c>
      <c r="AI16" s="1">
        <f t="shared" si="15"/>
        <v>1959.6510210210211</v>
      </c>
      <c r="AJ16" s="1"/>
      <c r="AL16" s="1">
        <v>0</v>
      </c>
      <c r="AM16" s="1">
        <f t="shared" si="21"/>
        <v>0</v>
      </c>
    </row>
    <row r="17" spans="4:39" ht="14.5" x14ac:dyDescent="0.35">
      <c r="D17" s="4">
        <v>14.5</v>
      </c>
      <c r="E17" s="1">
        <v>0.15</v>
      </c>
      <c r="F17" s="1">
        <f t="shared" si="9"/>
        <v>547.5</v>
      </c>
      <c r="G17" s="1">
        <v>582.20000000000005</v>
      </c>
      <c r="H17" s="1">
        <f t="shared" si="0"/>
        <v>0.3828882882882883</v>
      </c>
      <c r="I17" s="1">
        <f t="shared" si="1"/>
        <v>382.88828828828832</v>
      </c>
      <c r="J17" s="1">
        <f t="shared" si="10"/>
        <v>3362.6255255255255</v>
      </c>
      <c r="L17" s="1">
        <f t="shared" si="24"/>
        <v>74.742356578495361</v>
      </c>
      <c r="M17" s="1">
        <f t="shared" si="2"/>
        <v>0.51112284075000003</v>
      </c>
      <c r="P17" s="4">
        <v>14.5</v>
      </c>
      <c r="Q17" s="1">
        <v>0.15</v>
      </c>
      <c r="R17" s="8">
        <f t="shared" si="12"/>
        <v>547.5</v>
      </c>
      <c r="S17" s="1">
        <v>0</v>
      </c>
      <c r="T17" s="1">
        <f t="shared" si="16"/>
        <v>0</v>
      </c>
      <c r="U17" s="1">
        <f t="shared" si="17"/>
        <v>0</v>
      </c>
      <c r="V17" s="1">
        <f t="shared" si="13"/>
        <v>2078.8865465465465</v>
      </c>
      <c r="W17" s="1"/>
      <c r="Y17" s="1">
        <v>0</v>
      </c>
      <c r="Z17" s="1">
        <f t="shared" si="20"/>
        <v>0</v>
      </c>
      <c r="AC17" s="4">
        <v>14.5</v>
      </c>
      <c r="AD17" s="1">
        <v>0.15</v>
      </c>
      <c r="AE17" s="8">
        <f t="shared" si="14"/>
        <v>547.5</v>
      </c>
      <c r="AF17" s="1">
        <v>0</v>
      </c>
      <c r="AG17" s="1">
        <f t="shared" si="18"/>
        <v>0</v>
      </c>
      <c r="AH17" s="1">
        <f t="shared" si="19"/>
        <v>0</v>
      </c>
      <c r="AI17" s="1">
        <f t="shared" si="15"/>
        <v>1959.6510210210211</v>
      </c>
      <c r="AJ17" s="1"/>
      <c r="AL17" s="1">
        <v>0</v>
      </c>
      <c r="AM17" s="1">
        <f t="shared" si="21"/>
        <v>0</v>
      </c>
    </row>
    <row r="18" spans="4:39" ht="14.5" x14ac:dyDescent="0.35">
      <c r="D18" s="2">
        <v>14.994999999999999</v>
      </c>
      <c r="E18" s="1">
        <v>0.25</v>
      </c>
      <c r="F18" s="1">
        <f t="shared" si="9"/>
        <v>912.5</v>
      </c>
      <c r="G18" s="1">
        <f>2*261.7</f>
        <v>523.4</v>
      </c>
      <c r="H18" s="1">
        <f t="shared" si="0"/>
        <v>0.57369669669669665</v>
      </c>
      <c r="I18" s="1">
        <f t="shared" si="1"/>
        <v>573.69669669669668</v>
      </c>
      <c r="J18" s="1">
        <f t="shared" si="10"/>
        <v>3649.4738738738738</v>
      </c>
      <c r="L18" s="1">
        <f t="shared" si="24"/>
        <v>83.139090561711882</v>
      </c>
      <c r="M18" s="1">
        <f t="shared" si="2"/>
        <v>0.76583560875000001</v>
      </c>
      <c r="O18" s="1"/>
      <c r="P18" s="2">
        <v>14.994999999999999</v>
      </c>
      <c r="Q18" s="1">
        <v>0.25</v>
      </c>
      <c r="R18" s="19">
        <f t="shared" si="12"/>
        <v>912.5</v>
      </c>
      <c r="S18" s="1">
        <v>217.56399999999999</v>
      </c>
      <c r="T18" s="1">
        <f t="shared" si="16"/>
        <v>0.23847105105105104</v>
      </c>
      <c r="U18" s="1">
        <f t="shared" si="17"/>
        <v>238.47105105105103</v>
      </c>
      <c r="V18" s="1">
        <f t="shared" si="13"/>
        <v>2198.1220720720721</v>
      </c>
      <c r="W18" s="1"/>
      <c r="Y18" s="1">
        <f>100*$W$4/S18</f>
        <v>89.106653674321123</v>
      </c>
      <c r="Z18" s="1">
        <f t="shared" si="20"/>
        <v>0.318338285025</v>
      </c>
      <c r="AC18" s="2">
        <v>14.994999999999999</v>
      </c>
      <c r="AD18" s="1">
        <v>0.25</v>
      </c>
      <c r="AE18" s="15">
        <f t="shared" si="14"/>
        <v>912.5</v>
      </c>
      <c r="AF18" s="1">
        <v>0</v>
      </c>
      <c r="AG18" s="1">
        <f t="shared" si="18"/>
        <v>0</v>
      </c>
      <c r="AH18" s="1">
        <f t="shared" si="19"/>
        <v>0</v>
      </c>
      <c r="AI18" s="1">
        <f t="shared" si="15"/>
        <v>1959.6510210210211</v>
      </c>
      <c r="AJ18" s="1"/>
      <c r="AL18" s="1">
        <v>0</v>
      </c>
      <c r="AM18" s="1">
        <f t="shared" si="21"/>
        <v>0</v>
      </c>
    </row>
    <row r="19" spans="4:39" ht="14.5" x14ac:dyDescent="0.35">
      <c r="D19" s="4">
        <v>15.5</v>
      </c>
      <c r="E19" s="1">
        <v>0.35</v>
      </c>
      <c r="F19" s="1">
        <f t="shared" si="9"/>
        <v>1277.5</v>
      </c>
      <c r="G19" s="1">
        <v>484</v>
      </c>
      <c r="H19" s="1">
        <f t="shared" si="0"/>
        <v>0.74271471471471473</v>
      </c>
      <c r="I19" s="1">
        <f t="shared" si="1"/>
        <v>742.71471471471477</v>
      </c>
      <c r="J19" s="1">
        <f t="shared" si="10"/>
        <v>4020.831231231231</v>
      </c>
      <c r="L19" s="1">
        <f t="shared" si="24"/>
        <v>89.90702479338843</v>
      </c>
      <c r="M19" s="1">
        <f t="shared" si="2"/>
        <v>0.99146008499999994</v>
      </c>
      <c r="O19" s="13"/>
      <c r="P19" s="4">
        <v>15.5</v>
      </c>
      <c r="Q19" s="1">
        <v>0.35</v>
      </c>
      <c r="R19" s="19">
        <f t="shared" si="12"/>
        <v>1277.5</v>
      </c>
      <c r="S19" s="1">
        <v>205.42</v>
      </c>
      <c r="T19" s="1">
        <f t="shared" si="16"/>
        <v>0.31522408408408409</v>
      </c>
      <c r="U19" s="1">
        <f t="shared" si="17"/>
        <v>315.2240840840841</v>
      </c>
      <c r="V19" s="1">
        <f t="shared" si="13"/>
        <v>2355.7341141141142</v>
      </c>
      <c r="W19" s="1"/>
      <c r="Y19" s="1">
        <f>100*$W$4/S19</f>
        <v>94.374452341544171</v>
      </c>
      <c r="Z19" s="1">
        <f t="shared" si="20"/>
        <v>0.42079696417499995</v>
      </c>
      <c r="AC19" s="4">
        <v>15.5</v>
      </c>
      <c r="AD19" s="1">
        <v>0.35</v>
      </c>
      <c r="AE19" s="19">
        <f t="shared" si="14"/>
        <v>1277.5</v>
      </c>
      <c r="AF19" s="1">
        <v>205.42</v>
      </c>
      <c r="AG19" s="1">
        <f t="shared" si="18"/>
        <v>0.31522408408408409</v>
      </c>
      <c r="AH19" s="1">
        <f t="shared" si="19"/>
        <v>315.2240840840841</v>
      </c>
      <c r="AI19" s="1">
        <f t="shared" si="15"/>
        <v>2117.2630630630629</v>
      </c>
      <c r="AJ19" s="1"/>
      <c r="AL19" s="1">
        <f>100*$AJ$4/AF19</f>
        <v>94.374452341544171</v>
      </c>
      <c r="AM19" s="1">
        <f t="shared" si="21"/>
        <v>0.42079696417499995</v>
      </c>
    </row>
    <row r="20" spans="4:39" ht="14.5" x14ac:dyDescent="0.35">
      <c r="D20" s="2">
        <v>15.9946428571428</v>
      </c>
      <c r="E20" s="1">
        <v>0.95</v>
      </c>
      <c r="F20" s="1">
        <f t="shared" si="9"/>
        <v>3467.5</v>
      </c>
      <c r="G20" s="1">
        <v>436.2</v>
      </c>
      <c r="H20" s="1">
        <f t="shared" si="0"/>
        <v>1.8168450450450451</v>
      </c>
      <c r="I20" s="1">
        <f t="shared" si="1"/>
        <v>1816.845045045045</v>
      </c>
      <c r="J20" s="1">
        <f t="shared" si="10"/>
        <v>4929.2537537537537</v>
      </c>
      <c r="L20" s="1">
        <f t="shared" si="24"/>
        <v>99.759284731774414</v>
      </c>
      <c r="M20" s="1">
        <f t="shared" si="2"/>
        <v>2.4253314322500001</v>
      </c>
      <c r="O20" s="13"/>
      <c r="P20" s="2">
        <v>15.9946428571428</v>
      </c>
      <c r="Q20" s="1">
        <v>0.95</v>
      </c>
      <c r="R20" s="1">
        <f t="shared" si="12"/>
        <v>3467.5</v>
      </c>
      <c r="S20" s="1">
        <v>436.2</v>
      </c>
      <c r="T20" s="1">
        <f t="shared" si="16"/>
        <v>1.8168450450450451</v>
      </c>
      <c r="U20" s="1">
        <f t="shared" si="17"/>
        <v>1816.845045045045</v>
      </c>
      <c r="V20" s="1">
        <f t="shared" si="13"/>
        <v>3264.1566366366369</v>
      </c>
      <c r="W20" s="1"/>
      <c r="Y20" s="1">
        <f t="shared" ref="Y20:Y21" si="25">100*$K$4/S20</f>
        <v>99.759284731774414</v>
      </c>
      <c r="Z20" s="1">
        <f t="shared" si="20"/>
        <v>2.4253314322500001</v>
      </c>
      <c r="AC20" s="2">
        <v>15.9946428571428</v>
      </c>
      <c r="AD20" s="1">
        <v>0.95</v>
      </c>
      <c r="AE20" s="1">
        <f t="shared" si="14"/>
        <v>3467.5</v>
      </c>
      <c r="AF20" s="1">
        <v>436.2</v>
      </c>
      <c r="AG20" s="1">
        <f t="shared" si="18"/>
        <v>1.8168450450450451</v>
      </c>
      <c r="AH20" s="1">
        <f t="shared" si="19"/>
        <v>1816.845045045045</v>
      </c>
      <c r="AI20" s="1">
        <f t="shared" si="15"/>
        <v>3025.6855855855856</v>
      </c>
      <c r="AJ20" s="1"/>
      <c r="AL20" s="1">
        <f t="shared" ref="AL20:AL21" si="26">100*$K$4/AF20</f>
        <v>99.759284731774414</v>
      </c>
      <c r="AM20" s="1">
        <f t="shared" si="21"/>
        <v>2.4253314322500001</v>
      </c>
    </row>
    <row r="21" spans="4:39" ht="15.75" customHeight="1" x14ac:dyDescent="0.35">
      <c r="D21" s="4">
        <v>16.5</v>
      </c>
      <c r="E21" s="1">
        <v>0.7</v>
      </c>
      <c r="F21" s="1">
        <f t="shared" si="9"/>
        <v>2555</v>
      </c>
      <c r="G21" s="1">
        <f>2*218.8</f>
        <v>437.6</v>
      </c>
      <c r="H21" s="1">
        <f t="shared" si="0"/>
        <v>1.3430246246246247</v>
      </c>
      <c r="I21" s="1">
        <f t="shared" si="1"/>
        <v>1343.0246246246247</v>
      </c>
      <c r="J21" s="1">
        <f t="shared" si="10"/>
        <v>5600.7660660660658</v>
      </c>
      <c r="L21" s="1">
        <f t="shared" si="24"/>
        <v>99.440127970749543</v>
      </c>
      <c r="M21" s="1">
        <f t="shared" si="2"/>
        <v>1.792822038</v>
      </c>
      <c r="O21" s="13"/>
      <c r="P21" s="4">
        <v>16.5</v>
      </c>
      <c r="Q21" s="1">
        <v>0.7</v>
      </c>
      <c r="R21" s="1">
        <f t="shared" si="12"/>
        <v>2555</v>
      </c>
      <c r="S21" s="1">
        <v>437.6</v>
      </c>
      <c r="T21" s="1">
        <f t="shared" si="16"/>
        <v>1.3430246246246247</v>
      </c>
      <c r="U21" s="1">
        <f t="shared" si="17"/>
        <v>1343.0246246246247</v>
      </c>
      <c r="V21" s="1">
        <f t="shared" si="13"/>
        <v>3935.668948948949</v>
      </c>
      <c r="W21" s="1"/>
      <c r="Y21" s="1">
        <f t="shared" si="25"/>
        <v>99.440127970749543</v>
      </c>
      <c r="Z21" s="1">
        <f t="shared" si="20"/>
        <v>1.792822038</v>
      </c>
      <c r="AC21" s="4">
        <v>16.5</v>
      </c>
      <c r="AD21" s="1">
        <v>0.7</v>
      </c>
      <c r="AE21" s="1">
        <f t="shared" si="14"/>
        <v>2555</v>
      </c>
      <c r="AF21" s="1">
        <v>437.6</v>
      </c>
      <c r="AG21" s="1">
        <f t="shared" si="18"/>
        <v>1.3430246246246247</v>
      </c>
      <c r="AH21" s="1">
        <f t="shared" si="19"/>
        <v>1343.0246246246247</v>
      </c>
      <c r="AI21" s="1">
        <f t="shared" si="15"/>
        <v>3697.1978978978977</v>
      </c>
      <c r="AJ21" s="1"/>
      <c r="AL21" s="1">
        <f t="shared" si="26"/>
        <v>99.440127970749543</v>
      </c>
      <c r="AM21" s="1">
        <f t="shared" si="21"/>
        <v>1.792822038</v>
      </c>
    </row>
    <row r="22" spans="4:39" ht="15.75" customHeight="1" x14ac:dyDescent="0.35">
      <c r="D22" s="2">
        <v>16.994285714285699</v>
      </c>
      <c r="E22" s="1">
        <v>0.45</v>
      </c>
      <c r="F22" s="1">
        <f t="shared" si="9"/>
        <v>1642.5</v>
      </c>
      <c r="G22" s="1">
        <f>2*230.2</f>
        <v>460.4</v>
      </c>
      <c r="H22" s="1">
        <f t="shared" si="0"/>
        <v>0.90835675675675676</v>
      </c>
      <c r="I22" s="1">
        <f t="shared" si="1"/>
        <v>908.35675675675679</v>
      </c>
      <c r="J22" s="1">
        <f t="shared" si="10"/>
        <v>6054.9444444444443</v>
      </c>
      <c r="L22" s="1">
        <f t="shared" si="24"/>
        <v>94.515638575152053</v>
      </c>
      <c r="M22" s="1">
        <f t="shared" si="2"/>
        <v>1.2125779244999999</v>
      </c>
      <c r="P22" s="2">
        <v>16.994285714285699</v>
      </c>
      <c r="Q22" s="1">
        <v>0.45</v>
      </c>
      <c r="R22" s="19">
        <f t="shared" si="12"/>
        <v>1642.5</v>
      </c>
      <c r="S22" s="1">
        <v>197.221</v>
      </c>
      <c r="T22" s="1">
        <f t="shared" si="16"/>
        <v>0.38911170270270268</v>
      </c>
      <c r="U22" s="1">
        <f t="shared" si="17"/>
        <v>389.1117027027027</v>
      </c>
      <c r="V22" s="1">
        <f t="shared" si="13"/>
        <v>4130.2248003003006</v>
      </c>
      <c r="W22" s="1"/>
      <c r="Y22" s="1">
        <f>100*$W$4/S22</f>
        <v>98.297848606385742</v>
      </c>
      <c r="Z22" s="1">
        <f t="shared" si="20"/>
        <v>0.51943056222374995</v>
      </c>
      <c r="AC22" s="2">
        <v>16.994285714285699</v>
      </c>
      <c r="AD22" s="1">
        <v>0.45</v>
      </c>
      <c r="AE22" s="19">
        <f t="shared" si="14"/>
        <v>1642.5</v>
      </c>
      <c r="AF22" s="1">
        <v>197.221</v>
      </c>
      <c r="AG22" s="1">
        <f t="shared" si="18"/>
        <v>0.38911170270270268</v>
      </c>
      <c r="AH22" s="1">
        <f t="shared" si="19"/>
        <v>389.1117027027027</v>
      </c>
      <c r="AI22" s="1">
        <f t="shared" si="15"/>
        <v>3891.7537492492493</v>
      </c>
      <c r="AJ22" s="1"/>
      <c r="AL22" s="1">
        <f>100*$AJ$4/AF22</f>
        <v>98.297848606385742</v>
      </c>
      <c r="AM22" s="1">
        <f t="shared" si="21"/>
        <v>0.51943056222374995</v>
      </c>
    </row>
    <row r="23" spans="4:39" ht="15.75" customHeight="1" x14ac:dyDescent="0.35">
      <c r="D23" s="4">
        <v>17.5</v>
      </c>
      <c r="E23" s="1">
        <v>0.3</v>
      </c>
      <c r="F23" s="1">
        <f t="shared" si="9"/>
        <v>1095</v>
      </c>
      <c r="G23" s="1">
        <f>2*250.6</f>
        <v>501.2</v>
      </c>
      <c r="H23" s="1">
        <f t="shared" si="0"/>
        <v>0.65923603603603609</v>
      </c>
      <c r="I23" s="1">
        <f t="shared" si="1"/>
        <v>659.23603603603613</v>
      </c>
      <c r="J23" s="1">
        <f t="shared" si="10"/>
        <v>6384.5624624624625</v>
      </c>
      <c r="L23" s="1">
        <f t="shared" si="24"/>
        <v>86.821628092577811</v>
      </c>
      <c r="M23" s="1">
        <f t="shared" si="2"/>
        <v>0.88002324899999995</v>
      </c>
      <c r="P23" s="4">
        <v>17.5</v>
      </c>
      <c r="Q23" s="1">
        <v>0.3</v>
      </c>
      <c r="R23" s="19">
        <f t="shared" si="12"/>
        <v>1095</v>
      </c>
      <c r="S23" s="1">
        <v>210.14500000000001</v>
      </c>
      <c r="T23" s="1">
        <f t="shared" si="16"/>
        <v>0.27640693693693696</v>
      </c>
      <c r="U23" s="1">
        <f t="shared" si="17"/>
        <v>276.40693693693697</v>
      </c>
      <c r="V23" s="1">
        <f t="shared" si="13"/>
        <v>4268.4282687687692</v>
      </c>
      <c r="W23" s="1"/>
      <c r="Y23" s="1">
        <f>100*$W$4/S23</f>
        <v>92.252492326726781</v>
      </c>
      <c r="Z23" s="1">
        <f t="shared" si="20"/>
        <v>0.36897942071250001</v>
      </c>
      <c r="AC23" s="4">
        <v>17.5</v>
      </c>
      <c r="AD23" s="1">
        <v>0.3</v>
      </c>
      <c r="AE23" s="19">
        <f t="shared" si="14"/>
        <v>1095</v>
      </c>
      <c r="AF23" s="1">
        <v>210.14500000000001</v>
      </c>
      <c r="AG23" s="1">
        <f t="shared" si="18"/>
        <v>0.27640693693693696</v>
      </c>
      <c r="AH23" s="1">
        <f t="shared" si="19"/>
        <v>276.40693693693697</v>
      </c>
      <c r="AI23" s="1">
        <f t="shared" si="15"/>
        <v>4029.9572177177179</v>
      </c>
      <c r="AJ23" s="1"/>
      <c r="AL23" s="1">
        <f>100*$AJ$4/AF23</f>
        <v>92.252492326726781</v>
      </c>
      <c r="AM23" s="1">
        <f t="shared" si="21"/>
        <v>0.36897942071250001</v>
      </c>
    </row>
    <row r="24" spans="4:39" ht="15.75" customHeight="1" x14ac:dyDescent="0.35">
      <c r="D24" s="2">
        <v>17.993928571428601</v>
      </c>
      <c r="E24" s="1">
        <v>0</v>
      </c>
      <c r="F24" s="1">
        <f t="shared" si="9"/>
        <v>0</v>
      </c>
      <c r="G24" s="1">
        <v>0</v>
      </c>
      <c r="H24" s="1">
        <f t="shared" si="0"/>
        <v>0</v>
      </c>
      <c r="I24" s="1">
        <f t="shared" si="1"/>
        <v>0</v>
      </c>
      <c r="J24" s="5">
        <f>I24*$B$4+J23</f>
        <v>6384.5624624624625</v>
      </c>
      <c r="L24" s="1">
        <v>0</v>
      </c>
      <c r="M24" s="1">
        <f t="shared" si="2"/>
        <v>0</v>
      </c>
      <c r="O24" s="1"/>
      <c r="P24" s="2">
        <v>17.993928571428601</v>
      </c>
      <c r="Q24" s="1">
        <v>0</v>
      </c>
      <c r="R24" s="1">
        <f t="shared" si="12"/>
        <v>0</v>
      </c>
      <c r="S24" s="1">
        <v>0</v>
      </c>
      <c r="T24" s="1">
        <f t="shared" si="16"/>
        <v>0</v>
      </c>
      <c r="U24" s="1">
        <f t="shared" si="17"/>
        <v>0</v>
      </c>
      <c r="V24" s="5">
        <f t="shared" si="13"/>
        <v>4268.4282687687692</v>
      </c>
      <c r="W24" s="5"/>
      <c r="Y24" s="1">
        <v>0</v>
      </c>
      <c r="Z24" s="1">
        <f t="shared" si="20"/>
        <v>0</v>
      </c>
      <c r="AC24" s="2">
        <v>17.993928571428601</v>
      </c>
      <c r="AD24" s="1">
        <v>0</v>
      </c>
      <c r="AE24" s="1">
        <f t="shared" si="14"/>
        <v>0</v>
      </c>
      <c r="AF24" s="1">
        <v>0</v>
      </c>
      <c r="AG24" s="1">
        <f t="shared" si="18"/>
        <v>0</v>
      </c>
      <c r="AH24" s="1">
        <f t="shared" si="19"/>
        <v>0</v>
      </c>
      <c r="AI24" s="5">
        <f t="shared" si="15"/>
        <v>4029.9572177177179</v>
      </c>
      <c r="AJ24" s="5"/>
      <c r="AL24" s="1">
        <v>0</v>
      </c>
      <c r="AM24" s="1">
        <f t="shared" si="21"/>
        <v>0</v>
      </c>
    </row>
    <row r="25" spans="4:39" ht="15.75" customHeight="1" x14ac:dyDescent="0.35">
      <c r="I25" s="5">
        <f>SUM(I4:I24)</f>
        <v>12769.124924924925</v>
      </c>
      <c r="M25" s="5">
        <f>SUM(M4:M24)</f>
        <v>17.045680437750004</v>
      </c>
      <c r="O25" s="13"/>
      <c r="U25" s="5">
        <f>SUM(U4:U24)</f>
        <v>8536.8565375375383</v>
      </c>
      <c r="Z25" s="5">
        <f>SUM(Z4:Z24)</f>
        <v>11.395967173736251</v>
      </c>
      <c r="AH25" s="5">
        <f>SUM(AH4:AH24)</f>
        <v>8059.9144354354357</v>
      </c>
      <c r="AM25" s="5">
        <f>SUM(AM4:AM24)</f>
        <v>10.759290603686251</v>
      </c>
    </row>
    <row r="26" spans="4:39" ht="15.75" customHeight="1" x14ac:dyDescent="0.35">
      <c r="O26" s="13"/>
    </row>
    <row r="27" spans="4:39" ht="15.75" customHeight="1" x14ac:dyDescent="0.35">
      <c r="O27" s="13"/>
    </row>
    <row r="28" spans="4:39" ht="15.75" customHeight="1" x14ac:dyDescent="0.35">
      <c r="D28" s="1" t="s">
        <v>19</v>
      </c>
      <c r="E28" s="13" t="s">
        <v>32</v>
      </c>
      <c r="F28" s="13" t="s">
        <v>17</v>
      </c>
      <c r="P28" s="1" t="s">
        <v>19</v>
      </c>
      <c r="Q28" s="13" t="s">
        <v>32</v>
      </c>
      <c r="R28" s="13" t="s">
        <v>17</v>
      </c>
      <c r="AC28" s="1" t="s">
        <v>19</v>
      </c>
      <c r="AD28" s="13" t="s">
        <v>32</v>
      </c>
      <c r="AE28" s="13" t="s">
        <v>17</v>
      </c>
    </row>
    <row r="29" spans="4:39" ht="15.75" customHeight="1" x14ac:dyDescent="0.35">
      <c r="D29" s="13" t="s">
        <v>30</v>
      </c>
      <c r="E29" s="2">
        <f>(I5+I6+I11+I12+I16+I17+I18)*0.5</f>
        <v>1239.8600600600601</v>
      </c>
      <c r="F29" s="17">
        <f>M5+M6+M11+M12+M16+M17+M18</f>
        <v>3.3102124845000001</v>
      </c>
      <c r="P29" s="13" t="s">
        <v>30</v>
      </c>
      <c r="Q29" s="2">
        <f>(U5+U6+U11+U12+U16+U17+U18)*0.5</f>
        <v>238.47105105105103</v>
      </c>
      <c r="R29" s="17">
        <f>Z5+Z6+Z11+Z12+Z16+Z17+Z18</f>
        <v>0.63667657005</v>
      </c>
      <c r="AC29" s="13" t="s">
        <v>30</v>
      </c>
      <c r="AD29" s="2">
        <f>(AH5+AH6+AH11+AH12+AH16+AH17+AH18)*0.5</f>
        <v>0</v>
      </c>
      <c r="AE29" s="17">
        <f>AM5+AM6+AM11+AM12+AM16+AM17+AM18</f>
        <v>0</v>
      </c>
    </row>
    <row r="30" spans="4:39" ht="15.75" customHeight="1" x14ac:dyDescent="0.35">
      <c r="D30" s="13" t="s">
        <v>25</v>
      </c>
      <c r="E30" s="2">
        <f>(I7+I10+I19+I22+I23)*0.5</f>
        <v>1939.1693693693696</v>
      </c>
      <c r="F30" s="17">
        <f>M7+M10+M19+M22+M23</f>
        <v>5.1772477094999996</v>
      </c>
      <c r="O30" s="1"/>
      <c r="P30" s="13" t="s">
        <v>25</v>
      </c>
      <c r="Q30" s="2">
        <f>(U7+U10+U19+U22+U23+U6+U18)*0.5</f>
        <v>1062.8952357357357</v>
      </c>
      <c r="R30" s="17">
        <f>Z7+Z10+Z19+Z22+Z23+Z6+Z18</f>
        <v>2.8377469299862494</v>
      </c>
      <c r="AC30" s="13" t="s">
        <v>25</v>
      </c>
      <c r="AD30" s="2">
        <f>(AH7+AH10+AH19+AH22+AH23+AH6+AH18)*0.5</f>
        <v>824.42418468468475</v>
      </c>
      <c r="AE30" s="17">
        <f>AM7+AM10+AM19+AM22+AM23+AM6+AM18</f>
        <v>2.2010703599362498</v>
      </c>
    </row>
    <row r="31" spans="4:39" ht="15.75" customHeight="1" x14ac:dyDescent="0.35">
      <c r="D31" s="13" t="s">
        <v>26</v>
      </c>
      <c r="E31" s="2">
        <f>(I9+I20+I21+I8)*0.5</f>
        <v>3205.5330330330335</v>
      </c>
      <c r="F31" s="17">
        <f>M8+M9+M21+M20</f>
        <v>8.5582202437500001</v>
      </c>
      <c r="O31" s="1"/>
      <c r="P31" s="13" t="s">
        <v>26</v>
      </c>
      <c r="Q31" s="2">
        <f>(U9+U20+U21+U8)*0.5</f>
        <v>3205.5330330330335</v>
      </c>
      <c r="R31" s="17">
        <f>Z8+Z9+Z21+Z20</f>
        <v>8.5582202437500001</v>
      </c>
      <c r="AC31" s="13" t="s">
        <v>26</v>
      </c>
      <c r="AD31" s="2">
        <f>(AH9+AH20+AH21+AH8)*0.5</f>
        <v>3205.5330330330335</v>
      </c>
      <c r="AE31" s="17">
        <f>AM8+AM9+AM21+AM20</f>
        <v>8.5582202437500001</v>
      </c>
    </row>
    <row r="32" spans="4:39" ht="15.75" customHeight="1" x14ac:dyDescent="0.35">
      <c r="E32" s="6">
        <f t="shared" ref="E32:F32" si="27">SUM(E29:E31)</f>
        <v>6384.5624624624634</v>
      </c>
      <c r="F32" s="18">
        <f t="shared" si="27"/>
        <v>17.045680437750001</v>
      </c>
      <c r="O32" s="1"/>
      <c r="Q32" s="6">
        <f>SUM(Q29:Q31)</f>
        <v>4506.8993198198204</v>
      </c>
      <c r="R32" s="18">
        <f t="shared" ref="R32" si="28">SUM(R29:R31)</f>
        <v>12.032643743786249</v>
      </c>
      <c r="AD32" s="6">
        <f>SUM(AD29:AD31)</f>
        <v>4029.9572177177183</v>
      </c>
      <c r="AE32" s="18">
        <f t="shared" ref="AE32" si="29">SUM(AE29:AE31)</f>
        <v>10.759290603686249</v>
      </c>
    </row>
    <row r="33" spans="4:31" ht="15.75" customHeight="1" x14ac:dyDescent="0.35">
      <c r="O33" s="1"/>
    </row>
    <row r="34" spans="4:31" ht="15.75" customHeight="1" x14ac:dyDescent="0.35">
      <c r="D34" s="1" t="s">
        <v>19</v>
      </c>
      <c r="E34" s="13" t="s">
        <v>20</v>
      </c>
      <c r="F34" s="13" t="s">
        <v>31</v>
      </c>
      <c r="P34" s="1" t="s">
        <v>19</v>
      </c>
      <c r="Q34" s="13" t="s">
        <v>20</v>
      </c>
      <c r="R34" s="13" t="s">
        <v>31</v>
      </c>
      <c r="AC34" s="1" t="s">
        <v>19</v>
      </c>
      <c r="AD34" s="13" t="s">
        <v>20</v>
      </c>
      <c r="AE34" s="13" t="s">
        <v>31</v>
      </c>
    </row>
    <row r="35" spans="4:31" ht="15.75" customHeight="1" x14ac:dyDescent="0.35">
      <c r="D35" s="13" t="s">
        <v>30</v>
      </c>
      <c r="E35" s="16">
        <f>E29/$E$32</f>
        <v>0.1941965588636215</v>
      </c>
      <c r="F35" s="3">
        <f>F29/$F$32</f>
        <v>0.19419655886362153</v>
      </c>
      <c r="P35" s="13" t="s">
        <v>30</v>
      </c>
      <c r="Q35" s="16">
        <f>Q29/$Q$32</f>
        <v>5.2912442486197975E-2</v>
      </c>
      <c r="R35" s="3">
        <f>R29/$R$32</f>
        <v>5.2912442486197996E-2</v>
      </c>
      <c r="AC35" s="13" t="s">
        <v>30</v>
      </c>
      <c r="AD35" s="16">
        <f>AD29/$AD$32</f>
        <v>0</v>
      </c>
      <c r="AE35" s="3">
        <f>AE29/$AE$32</f>
        <v>0</v>
      </c>
    </row>
    <row r="36" spans="4:31" ht="15.75" customHeight="1" x14ac:dyDescent="0.35">
      <c r="D36" s="13" t="s">
        <v>25</v>
      </c>
      <c r="E36" s="16">
        <f>E30/$E$32</f>
        <v>0.30372784051696017</v>
      </c>
      <c r="F36" s="3">
        <f t="shared" ref="F36:F37" si="30">F30/$F$32</f>
        <v>0.30372784051696017</v>
      </c>
      <c r="P36" s="13" t="s">
        <v>25</v>
      </c>
      <c r="Q36" s="16">
        <f t="shared" ref="Q36:Q38" si="31">Q30/$Q$32</f>
        <v>0.23583735963691968</v>
      </c>
      <c r="R36" s="3">
        <f t="shared" ref="R36:R38" si="32">R30/$R$32</f>
        <v>0.23583735963691971</v>
      </c>
      <c r="AC36" s="13" t="s">
        <v>25</v>
      </c>
      <c r="AD36" s="16">
        <f t="shared" ref="AD36:AD37" si="33">AD30/$AD$32</f>
        <v>0.20457392973307545</v>
      </c>
      <c r="AE36" s="3">
        <f t="shared" ref="AE36:AE37" si="34">AE30/$AE$32</f>
        <v>0.20457392973307545</v>
      </c>
    </row>
    <row r="37" spans="4:31" ht="15.75" customHeight="1" x14ac:dyDescent="0.35">
      <c r="D37" s="13" t="s">
        <v>26</v>
      </c>
      <c r="E37" s="16">
        <f t="shared" ref="E37" si="35">E31/$E$32</f>
        <v>0.50207560061941825</v>
      </c>
      <c r="F37" s="3">
        <f t="shared" si="30"/>
        <v>0.50207560061941825</v>
      </c>
      <c r="P37" s="13" t="s">
        <v>26</v>
      </c>
      <c r="Q37" s="16">
        <f t="shared" si="31"/>
        <v>0.71125019787688226</v>
      </c>
      <c r="R37" s="3">
        <f t="shared" si="32"/>
        <v>0.71125019787688237</v>
      </c>
      <c r="AC37" s="13" t="s">
        <v>26</v>
      </c>
      <c r="AD37" s="16">
        <f t="shared" si="33"/>
        <v>0.79542607026692447</v>
      </c>
      <c r="AE37" s="3">
        <f t="shared" si="34"/>
        <v>0.79542607026692458</v>
      </c>
    </row>
    <row r="38" spans="4:31" ht="15.75" customHeight="1" x14ac:dyDescent="0.35">
      <c r="E38" s="6">
        <f>SUM(E35:E37)</f>
        <v>0.99999999999999989</v>
      </c>
      <c r="F38" s="7">
        <f t="shared" ref="F38" si="36">SUM(F35:F37)</f>
        <v>1</v>
      </c>
      <c r="Q38" s="16">
        <f t="shared" si="31"/>
        <v>1</v>
      </c>
      <c r="R38" s="3">
        <f t="shared" si="32"/>
        <v>1</v>
      </c>
      <c r="AD38" s="20">
        <f>SUM(AD35:AD37)</f>
        <v>0.99999999999999989</v>
      </c>
      <c r="AE38" s="7">
        <f t="shared" ref="AE38" si="37">SUM(AE35:AE37)</f>
        <v>1</v>
      </c>
    </row>
    <row r="39" spans="4:31" ht="15.75" customHeight="1" x14ac:dyDescent="0.35"/>
    <row r="40" spans="4:31" ht="15.75" customHeight="1" x14ac:dyDescent="0.35"/>
    <row r="41" spans="4:31" ht="15.75" customHeight="1" x14ac:dyDescent="0.35"/>
    <row r="42" spans="4:31" ht="15.75" customHeight="1" x14ac:dyDescent="0.35"/>
    <row r="43" spans="4:31" ht="15.75" customHeight="1" x14ac:dyDescent="0.35"/>
    <row r="44" spans="4:31" ht="15.75" customHeight="1" x14ac:dyDescent="0.35"/>
    <row r="45" spans="4:31" ht="15.75" customHeight="1" x14ac:dyDescent="0.35"/>
    <row r="46" spans="4:31" ht="15.75" customHeight="1" x14ac:dyDescent="0.35"/>
    <row r="47" spans="4:31" ht="15.75" customHeight="1" x14ac:dyDescent="0.35"/>
    <row r="48" spans="4:3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D2:M2"/>
    <mergeCell ref="P2:Z2"/>
    <mergeCell ref="AC2:AM2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 min_1m</vt:lpstr>
      <vt:lpstr>30 min_2m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2024-09-11T14:35:20Z</dcterms:created>
  <dcterms:modified xsi:type="dcterms:W3CDTF">2026-01-08T14:38:26Z</dcterms:modified>
</cp:coreProperties>
</file>