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ar\Documents\Tesis Magister\Tesis_Msc_LSZ\02_Codigo\02_Tugboat\01_codes\"/>
    </mc:Choice>
  </mc:AlternateContent>
  <xr:revisionPtr revIDLastSave="0" documentId="8_{10DA53E5-ACA3-455B-93D2-491BBC1780AB}" xr6:coauthVersionLast="47" xr6:coauthVersionMax="47" xr10:uidLastSave="{00000000-0000-0000-0000-000000000000}"/>
  <bookViews>
    <workbookView xWindow="-120" yWindow="-120" windowWidth="29040" windowHeight="15840" xr2:uid="{FD557894-31E2-4B27-BD9D-34D616DFDF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H7" i="1" s="1"/>
  <c r="G7" i="1"/>
  <c r="H4" i="1"/>
  <c r="H5" i="1"/>
  <c r="H6" i="1"/>
  <c r="H3" i="1"/>
  <c r="C3" i="1"/>
  <c r="G4" i="1"/>
  <c r="G5" i="1"/>
  <c r="G6" i="1"/>
  <c r="G3" i="1"/>
  <c r="B3" i="1"/>
</calcChain>
</file>

<file path=xl/sharedStrings.xml><?xml version="1.0" encoding="utf-8"?>
<sst xmlns="http://schemas.openxmlformats.org/spreadsheetml/2006/main" count="7" uniqueCount="7">
  <si>
    <t>CF</t>
  </si>
  <si>
    <t>Fuel Consumptio</t>
  </si>
  <si>
    <t>Percentage</t>
  </si>
  <si>
    <t>Power</t>
  </si>
  <si>
    <t>Power Output</t>
  </si>
  <si>
    <t>Density Diesel (g/L)</t>
  </si>
  <si>
    <t>BSFC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</si>
</sst>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F8E7-D3EB-4AE6-AE9C-DD2416BC7489}">
  <dimension ref="A2:H7"/>
  <sheetViews>
    <sheetView tabSelected="1" workbookViewId="0">
      <selection activeCell="G18" sqref="G18"/>
    </sheetView>
  </sheetViews>
  <sheetFormatPr baseColWidth="10" defaultRowHeight="15" x14ac:dyDescent="0.25"/>
  <cols>
    <col min="2" max="2" width="17.140625" bestFit="1" customWidth="1"/>
    <col min="3" max="3" width="17.85546875" bestFit="1" customWidth="1"/>
    <col min="5" max="5" width="15.85546875" bestFit="1" customWidth="1"/>
    <col min="6" max="6" width="10.7109375" bestFit="1" customWidth="1"/>
    <col min="7" max="7" width="12.85546875" bestFit="1" customWidth="1"/>
    <col min="8" max="8" width="12" bestFit="1" customWidth="1"/>
  </cols>
  <sheetData>
    <row r="2" spans="1:8" x14ac:dyDescent="0.25">
      <c r="A2" t="s">
        <v>3</v>
      </c>
      <c r="B2" t="s">
        <v>0</v>
      </c>
      <c r="C2" t="s">
        <v>5</v>
      </c>
      <c r="E2" t="s">
        <v>1</v>
      </c>
      <c r="F2" t="s">
        <v>2</v>
      </c>
      <c r="G2" t="s">
        <v>4</v>
      </c>
      <c r="H2" s="1" t="s">
        <v>6</v>
      </c>
    </row>
    <row r="3" spans="1:8" x14ac:dyDescent="0.25">
      <c r="A3">
        <v>1825</v>
      </c>
      <c r="B3">
        <f>(3.206)*(0.000001)</f>
        <v>3.2059999999999999E-6</v>
      </c>
      <c r="C3">
        <f>(820+845)/2</f>
        <v>832.5</v>
      </c>
      <c r="E3">
        <v>479.9</v>
      </c>
      <c r="F3">
        <v>100</v>
      </c>
      <c r="G3">
        <f>$A$3*F3/100</f>
        <v>1825</v>
      </c>
      <c r="H3">
        <f>(E3*$C$3)/G3</f>
        <v>218.91328767123287</v>
      </c>
    </row>
    <row r="4" spans="1:8" x14ac:dyDescent="0.25">
      <c r="E4">
        <v>358.6</v>
      </c>
      <c r="F4">
        <v>75</v>
      </c>
      <c r="G4">
        <f t="shared" ref="G4:G7" si="0">$A$3*F4/100</f>
        <v>1368.75</v>
      </c>
      <c r="H4">
        <f t="shared" ref="H4:H7" si="1">(E4*$C$3)/G4</f>
        <v>218.10739726027398</v>
      </c>
    </row>
    <row r="5" spans="1:8" x14ac:dyDescent="0.25">
      <c r="E5">
        <v>248.2</v>
      </c>
      <c r="F5">
        <v>50</v>
      </c>
      <c r="G5">
        <f t="shared" si="0"/>
        <v>912.5</v>
      </c>
      <c r="H5">
        <f t="shared" si="1"/>
        <v>226.44</v>
      </c>
    </row>
    <row r="6" spans="1:8" x14ac:dyDescent="0.25">
      <c r="E6">
        <v>143.4</v>
      </c>
      <c r="F6">
        <v>25</v>
      </c>
      <c r="G6">
        <f t="shared" si="0"/>
        <v>456.25</v>
      </c>
      <c r="H6">
        <f t="shared" si="1"/>
        <v>261.65589041095893</v>
      </c>
    </row>
    <row r="7" spans="1:8" x14ac:dyDescent="0.25">
      <c r="E7">
        <f>(E6/2)*1.15</f>
        <v>82.454999999999998</v>
      </c>
      <c r="F7">
        <v>12.5</v>
      </c>
      <c r="G7">
        <f t="shared" si="0"/>
        <v>228.125</v>
      </c>
      <c r="H7">
        <f>(E7*$C$3)/G7</f>
        <v>300.90427397260277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</dc:creator>
  <cp:lastModifiedBy>Leonardo Solis</cp:lastModifiedBy>
  <dcterms:created xsi:type="dcterms:W3CDTF">2025-11-25T14:39:21Z</dcterms:created>
  <dcterms:modified xsi:type="dcterms:W3CDTF">2025-11-25T17:28:55Z</dcterms:modified>
</cp:coreProperties>
</file>