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sar\Documents\Tesis Magister\Tesis_Msc_LSZ\02_Codigo\02_Tugboat\01_codes\"/>
    </mc:Choice>
  </mc:AlternateContent>
  <xr:revisionPtr revIDLastSave="0" documentId="13_ncr:1_{474260B9-7070-4885-BD02-2ACD2C526D6E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30 min_1m" sheetId="4" r:id="rId1"/>
    <sheet name="30 min_2m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fB7NYoo45u4/amyriYxtDfPcdd//nPkQoi5t7+CEUi0="/>
    </ext>
  </extLst>
</workbook>
</file>

<file path=xl/calcChain.xml><?xml version="1.0" encoding="utf-8"?>
<calcChain xmlns="http://schemas.openxmlformats.org/spreadsheetml/2006/main">
  <c r="V26" i="4" l="1"/>
  <c r="V25" i="4"/>
  <c r="H5" i="5"/>
  <c r="I5" i="5"/>
  <c r="M5" i="5"/>
  <c r="S9" i="4"/>
  <c r="R9" i="4"/>
  <c r="O9" i="4"/>
  <c r="O10" i="4"/>
  <c r="O13" i="4"/>
  <c r="O17" i="4"/>
  <c r="O18" i="4"/>
  <c r="O22" i="4"/>
  <c r="O26" i="4"/>
  <c r="B7" i="4"/>
  <c r="G21" i="5"/>
  <c r="G22" i="5"/>
  <c r="G23" i="5"/>
  <c r="H23" i="5" s="1"/>
  <c r="I23" i="5" s="1"/>
  <c r="P9" i="5" s="1"/>
  <c r="G9" i="5"/>
  <c r="G7" i="5"/>
  <c r="G18" i="5"/>
  <c r="G6" i="5"/>
  <c r="G5" i="5"/>
  <c r="K4" i="5"/>
  <c r="I15" i="4"/>
  <c r="J15" i="4" s="1"/>
  <c r="C7" i="4"/>
  <c r="I17" i="4"/>
  <c r="I16" i="4"/>
  <c r="I14" i="4"/>
  <c r="O14" i="4" s="1"/>
  <c r="P14" i="4" s="1"/>
  <c r="I18" i="4"/>
  <c r="I13" i="4"/>
  <c r="I12" i="4"/>
  <c r="J12" i="4" s="1"/>
  <c r="L12" i="4" s="1"/>
  <c r="I11" i="4"/>
  <c r="I20" i="4"/>
  <c r="I19" i="4"/>
  <c r="I22" i="4"/>
  <c r="I21" i="4"/>
  <c r="O21" i="4" s="1"/>
  <c r="P21" i="4" s="1"/>
  <c r="I24" i="4"/>
  <c r="I23" i="4"/>
  <c r="I26" i="4"/>
  <c r="I25" i="4"/>
  <c r="O25" i="4" s="1"/>
  <c r="I10" i="4"/>
  <c r="I9" i="4"/>
  <c r="F5" i="5"/>
  <c r="F6" i="5"/>
  <c r="F7" i="5"/>
  <c r="M7" i="5" s="1"/>
  <c r="Q11" i="5" s="1"/>
  <c r="F8" i="5"/>
  <c r="F9" i="5"/>
  <c r="F10" i="5"/>
  <c r="F11" i="5"/>
  <c r="H11" i="5" s="1"/>
  <c r="I11" i="5" s="1"/>
  <c r="F12" i="5"/>
  <c r="H12" i="5" s="1"/>
  <c r="I12" i="5" s="1"/>
  <c r="F13" i="5"/>
  <c r="F14" i="5"/>
  <c r="H14" i="5" s="1"/>
  <c r="I14" i="5" s="1"/>
  <c r="F15" i="5"/>
  <c r="F16" i="5"/>
  <c r="H16" i="5" s="1"/>
  <c r="I16" i="5" s="1"/>
  <c r="F17" i="5"/>
  <c r="F18" i="5"/>
  <c r="F19" i="5"/>
  <c r="M19" i="5" s="1"/>
  <c r="F20" i="5"/>
  <c r="H20" i="5" s="1"/>
  <c r="I20" i="5" s="1"/>
  <c r="F21" i="5"/>
  <c r="F22" i="5"/>
  <c r="F23" i="5"/>
  <c r="F24" i="5"/>
  <c r="H24" i="5" s="1"/>
  <c r="I24" i="5" s="1"/>
  <c r="F4" i="5"/>
  <c r="H8" i="4"/>
  <c r="O8" i="4" s="1"/>
  <c r="P8" i="4" s="1"/>
  <c r="H9" i="4"/>
  <c r="H10" i="4"/>
  <c r="M10" i="4" s="1"/>
  <c r="R10" i="4" s="1"/>
  <c r="H11" i="4"/>
  <c r="O11" i="4" s="1"/>
  <c r="H12" i="4"/>
  <c r="M12" i="4" s="1"/>
  <c r="R12" i="4" s="1"/>
  <c r="H13" i="4"/>
  <c r="H14" i="4"/>
  <c r="M14" i="4" s="1"/>
  <c r="H15" i="4"/>
  <c r="O15" i="4" s="1"/>
  <c r="H16" i="4"/>
  <c r="M16" i="4" s="1"/>
  <c r="H17" i="4"/>
  <c r="H18" i="4"/>
  <c r="S18" i="4" s="1"/>
  <c r="H19" i="4"/>
  <c r="M19" i="4" s="1"/>
  <c r="H20" i="4"/>
  <c r="O20" i="4" s="1"/>
  <c r="H21" i="4"/>
  <c r="H22" i="4"/>
  <c r="H23" i="4"/>
  <c r="M23" i="4" s="1"/>
  <c r="H24" i="4"/>
  <c r="O24" i="4" s="1"/>
  <c r="H25" i="4"/>
  <c r="H26" i="4"/>
  <c r="H27" i="4"/>
  <c r="O27" i="4" s="1"/>
  <c r="H7" i="4"/>
  <c r="O7" i="4" s="1"/>
  <c r="P7" i="4" s="1"/>
  <c r="M6" i="5"/>
  <c r="Q6" i="5"/>
  <c r="M24" i="5"/>
  <c r="M22" i="5"/>
  <c r="Q12" i="5" s="1"/>
  <c r="H21" i="5"/>
  <c r="I21" i="5" s="1"/>
  <c r="M21" i="5"/>
  <c r="Q13" i="5" s="1"/>
  <c r="L20" i="5"/>
  <c r="H19" i="5"/>
  <c r="I19" i="5" s="1"/>
  <c r="M18" i="5"/>
  <c r="H17" i="5"/>
  <c r="I17" i="5" s="1"/>
  <c r="M17" i="5"/>
  <c r="M14" i="5"/>
  <c r="M12" i="5"/>
  <c r="M11" i="5"/>
  <c r="L10" i="5"/>
  <c r="M10" i="5"/>
  <c r="H10" i="5"/>
  <c r="I10" i="5" s="1"/>
  <c r="H9" i="5"/>
  <c r="I9" i="5" s="1"/>
  <c r="M9" i="5"/>
  <c r="Q14" i="5" s="1"/>
  <c r="L8" i="5"/>
  <c r="H8" i="5"/>
  <c r="I8" i="5" s="1"/>
  <c r="H7" i="5"/>
  <c r="I7" i="5" s="1"/>
  <c r="H4" i="5"/>
  <c r="I4" i="5" s="1"/>
  <c r="L27" i="4"/>
  <c r="M26" i="4"/>
  <c r="M25" i="4"/>
  <c r="M24" i="4"/>
  <c r="M21" i="4"/>
  <c r="M17" i="4"/>
  <c r="J10" i="4"/>
  <c r="L10" i="4" s="1"/>
  <c r="L8" i="4"/>
  <c r="L7" i="4"/>
  <c r="M20" i="4" l="1"/>
  <c r="M8" i="4"/>
  <c r="R8" i="4" s="1"/>
  <c r="P22" i="4"/>
  <c r="R14" i="4"/>
  <c r="N13" i="4"/>
  <c r="N17" i="4"/>
  <c r="O16" i="4"/>
  <c r="O12" i="4"/>
  <c r="J9" i="4"/>
  <c r="Q7" i="4"/>
  <c r="O23" i="4"/>
  <c r="O19" i="4"/>
  <c r="P19" i="4" s="1"/>
  <c r="S22" i="4"/>
  <c r="P27" i="4"/>
  <c r="P11" i="4"/>
  <c r="M23" i="5"/>
  <c r="Q9" i="5" s="1"/>
  <c r="Q7" i="5"/>
  <c r="P10" i="5"/>
  <c r="S15" i="4"/>
  <c r="W27" i="4" s="1"/>
  <c r="S17" i="4"/>
  <c r="S13" i="4"/>
  <c r="R19" i="4"/>
  <c r="R23" i="4"/>
  <c r="P9" i="4"/>
  <c r="M8" i="5"/>
  <c r="M16" i="5"/>
  <c r="Q5" i="5" s="1"/>
  <c r="Q8" i="5"/>
  <c r="M20" i="5"/>
  <c r="M4" i="5"/>
  <c r="S14" i="4"/>
  <c r="J14" i="4"/>
  <c r="K14" i="4" s="1"/>
  <c r="M15" i="4"/>
  <c r="R15" i="4" s="1"/>
  <c r="K27" i="4"/>
  <c r="S7" i="4"/>
  <c r="M9" i="4"/>
  <c r="N14" i="4"/>
  <c r="R17" i="4"/>
  <c r="P18" i="4"/>
  <c r="M27" i="4"/>
  <c r="R27" i="4" s="1"/>
  <c r="P20" i="4"/>
  <c r="S27" i="4"/>
  <c r="P24" i="4"/>
  <c r="S23" i="4"/>
  <c r="S19" i="4"/>
  <c r="N12" i="4"/>
  <c r="S12" i="4"/>
  <c r="P12" i="4"/>
  <c r="K12" i="4"/>
  <c r="M11" i="4"/>
  <c r="K10" i="4"/>
  <c r="N10" i="4"/>
  <c r="S10" i="4"/>
  <c r="P10" i="4"/>
  <c r="S8" i="4"/>
  <c r="Q8" i="4"/>
  <c r="Q9" i="4" s="1"/>
  <c r="P13" i="5"/>
  <c r="J4" i="5"/>
  <c r="J5" i="5" s="1"/>
  <c r="R21" i="4"/>
  <c r="S21" i="4"/>
  <c r="J21" i="4"/>
  <c r="N21" i="4"/>
  <c r="R25" i="4"/>
  <c r="N25" i="4"/>
  <c r="S25" i="4"/>
  <c r="P25" i="4"/>
  <c r="J25" i="4"/>
  <c r="P15" i="5"/>
  <c r="P33" i="5"/>
  <c r="P14" i="5"/>
  <c r="P7" i="5"/>
  <c r="R16" i="4"/>
  <c r="N16" i="4"/>
  <c r="S16" i="4"/>
  <c r="P16" i="4"/>
  <c r="S26" i="4"/>
  <c r="P26" i="4"/>
  <c r="R26" i="4"/>
  <c r="N26" i="4"/>
  <c r="H13" i="5"/>
  <c r="I13" i="5" s="1"/>
  <c r="M13" i="5"/>
  <c r="S11" i="4"/>
  <c r="P13" i="4"/>
  <c r="M13" i="4"/>
  <c r="R13" i="4" s="1"/>
  <c r="N9" i="4"/>
  <c r="R11" i="4"/>
  <c r="N11" i="4"/>
  <c r="P17" i="4"/>
  <c r="R24" i="4"/>
  <c r="N24" i="4"/>
  <c r="S24" i="4"/>
  <c r="L23" i="5"/>
  <c r="L19" i="5"/>
  <c r="L9" i="5"/>
  <c r="L5" i="5"/>
  <c r="L21" i="5"/>
  <c r="L17" i="5"/>
  <c r="L11" i="5"/>
  <c r="L7" i="5"/>
  <c r="L22" i="5"/>
  <c r="L12" i="5"/>
  <c r="L18" i="5"/>
  <c r="L6" i="5"/>
  <c r="P11" i="5"/>
  <c r="P5" i="5"/>
  <c r="H15" i="5"/>
  <c r="I15" i="5" s="1"/>
  <c r="M15" i="5"/>
  <c r="L16" i="5"/>
  <c r="J17" i="4"/>
  <c r="R20" i="4"/>
  <c r="N20" i="4"/>
  <c r="S20" i="4"/>
  <c r="P6" i="5"/>
  <c r="H22" i="5"/>
  <c r="I22" i="5" s="1"/>
  <c r="P32" i="5" s="1"/>
  <c r="J24" i="4"/>
  <c r="J22" i="4"/>
  <c r="J20" i="4"/>
  <c r="J18" i="4"/>
  <c r="J16" i="4"/>
  <c r="M7" i="4"/>
  <c r="R7" i="4" s="1"/>
  <c r="J11" i="4"/>
  <c r="J13" i="4"/>
  <c r="N15" i="4"/>
  <c r="M18" i="4"/>
  <c r="R18" i="4" s="1"/>
  <c r="N19" i="4"/>
  <c r="M22" i="4"/>
  <c r="R22" i="4" s="1"/>
  <c r="N23" i="4"/>
  <c r="J26" i="4"/>
  <c r="Q10" i="5"/>
  <c r="Q20" i="5" s="1"/>
  <c r="P15" i="4"/>
  <c r="N18" i="4"/>
  <c r="J19" i="4"/>
  <c r="N22" i="4"/>
  <c r="J23" i="4"/>
  <c r="P23" i="4"/>
  <c r="H6" i="5"/>
  <c r="I6" i="5" s="1"/>
  <c r="H18" i="5"/>
  <c r="I18" i="5" s="1"/>
  <c r="L14" i="4" l="1"/>
  <c r="M25" i="5"/>
  <c r="Q19" i="5"/>
  <c r="W26" i="4"/>
  <c r="P21" i="5"/>
  <c r="Q15" i="5"/>
  <c r="Q21" i="5" s="1"/>
  <c r="W25" i="4"/>
  <c r="Q10" i="4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L15" i="4"/>
  <c r="K15" i="4"/>
  <c r="L21" i="4"/>
  <c r="K21" i="4"/>
  <c r="L16" i="4"/>
  <c r="K16" i="4"/>
  <c r="L19" i="4"/>
  <c r="K19" i="4"/>
  <c r="L22" i="4"/>
  <c r="K22" i="4"/>
  <c r="K13" i="4"/>
  <c r="L13" i="4"/>
  <c r="L24" i="4"/>
  <c r="K24" i="4"/>
  <c r="I25" i="5"/>
  <c r="J6" i="5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P8" i="5"/>
  <c r="P19" i="5" s="1"/>
  <c r="K11" i="4"/>
  <c r="L11" i="4"/>
  <c r="K18" i="4"/>
  <c r="L18" i="4"/>
  <c r="P12" i="5"/>
  <c r="P20" i="5" s="1"/>
  <c r="L17" i="4"/>
  <c r="K17" i="4"/>
  <c r="L23" i="4"/>
  <c r="K23" i="4"/>
  <c r="P31" i="5"/>
  <c r="V27" i="4"/>
  <c r="L26" i="4"/>
  <c r="K26" i="4"/>
  <c r="K9" i="4"/>
  <c r="L9" i="4"/>
  <c r="L20" i="4"/>
  <c r="K20" i="4"/>
  <c r="L25" i="4"/>
  <c r="K25" i="4"/>
  <c r="W28" i="4" l="1"/>
  <c r="W33" i="4" s="1"/>
  <c r="Q22" i="5"/>
  <c r="Q26" i="5" s="1"/>
  <c r="P16" i="5"/>
  <c r="Q16" i="5"/>
  <c r="W32" i="4"/>
  <c r="W31" i="4"/>
  <c r="V28" i="4"/>
  <c r="V31" i="4" s="1"/>
  <c r="P34" i="5"/>
  <c r="P22" i="5"/>
  <c r="P27" i="5" s="1"/>
  <c r="Q25" i="5" l="1"/>
  <c r="Q27" i="5"/>
  <c r="Q28" i="5"/>
  <c r="W34" i="4"/>
  <c r="V32" i="4"/>
  <c r="V33" i="4"/>
  <c r="Q33" i="5"/>
  <c r="Q32" i="5"/>
  <c r="P25" i="5"/>
  <c r="P26" i="5"/>
  <c r="Q31" i="5"/>
  <c r="V34" i="4" l="1"/>
  <c r="P28" i="5"/>
  <c r="Q3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Solis Zamora</author>
  </authors>
  <commentList>
    <comment ref="C6" authorId="0" shapeId="0" xr:uid="{2A1AC84E-20EF-4573-A3C3-2D671956E63F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min del sistem propulsivo, o sea, se suma el sfc de cada motor.</t>
        </r>
      </text>
    </comment>
    <comment ref="H6" authorId="0" shapeId="0" xr:uid="{22344900-588F-413B-B2A8-531B1E84867A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Potencia de ambos motores diesel.</t>
        </r>
      </text>
    </comment>
    <comment ref="I6" authorId="0" shapeId="0" xr:uid="{D8B8D918-F132-469F-B170-BFA4C9C64DF1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de ambos motores diesel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Solis Zamora</author>
  </authors>
  <commentList>
    <comment ref="G3" authorId="0" shapeId="0" xr:uid="{F3E13823-0D1A-4832-9B66-8B6DAEEC1C1D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corresponde a la suma de ambos motores.</t>
        </r>
      </text>
    </comment>
    <comment ref="K3" authorId="0" shapeId="0" xr:uid="{85D8D23D-BDF0-49DC-9E90-2F4C739C703C}">
      <text>
        <r>
          <rPr>
            <b/>
            <sz val="9"/>
            <color indexed="81"/>
            <rFont val="Tahoma"/>
            <charset val="1"/>
          </rPr>
          <t>Leonardo Solis Zamora:</t>
        </r>
        <r>
          <rPr>
            <sz val="9"/>
            <color indexed="81"/>
            <rFont val="Tahoma"/>
            <charset val="1"/>
          </rPr>
          <t xml:space="preserve">
sfc min del sistema de propulsión, por lo tanto, corresponde a la suma de los dos motores.</t>
        </r>
      </text>
    </comment>
  </commentList>
</comments>
</file>

<file path=xl/sharedStrings.xml><?xml version="1.0" encoding="utf-8"?>
<sst xmlns="http://schemas.openxmlformats.org/spreadsheetml/2006/main" count="67" uniqueCount="37">
  <si>
    <t>Densidad [kg/m3]</t>
  </si>
  <si>
    <t>Densidad [g/m3]</t>
  </si>
  <si>
    <t>Use Time</t>
  </si>
  <si>
    <t>sfc_min</t>
  </si>
  <si>
    <t xml:space="preserve">Time </t>
  </si>
  <si>
    <t>Pot [kW]</t>
  </si>
  <si>
    <t>Pot_nom</t>
  </si>
  <si>
    <t>sfc</t>
  </si>
  <si>
    <t>eff_sfc_rel</t>
  </si>
  <si>
    <t>Energy</t>
  </si>
  <si>
    <t>sfc/Pot</t>
  </si>
  <si>
    <t>fuel [m3/h]</t>
  </si>
  <si>
    <t>g_fuel</t>
  </si>
  <si>
    <t>Emiss</t>
  </si>
  <si>
    <t>eff_sfc_max</t>
  </si>
  <si>
    <t>eff_sfc/Pot</t>
  </si>
  <si>
    <t>Ineff_sfc_rel</t>
  </si>
  <si>
    <t>Emis</t>
  </si>
  <si>
    <t>fuel [L/h]</t>
  </si>
  <si>
    <t>fuel acc [L]</t>
  </si>
  <si>
    <t>Pot_acc [kW]</t>
  </si>
  <si>
    <t>Fuel [L]</t>
  </si>
  <si>
    <t xml:space="preserve">Emiss </t>
  </si>
  <si>
    <t>160-960</t>
  </si>
  <si>
    <t>1120-2240</t>
  </si>
  <si>
    <t>2400-3040</t>
  </si>
  <si>
    <t>Pot [%]</t>
  </si>
  <si>
    <t>Pot acc [kW]</t>
  </si>
  <si>
    <t>Fuel</t>
  </si>
  <si>
    <t>Pot acc[kW]</t>
  </si>
  <si>
    <t>Fuel (%)</t>
  </si>
  <si>
    <t>160kW-960kW</t>
  </si>
  <si>
    <t>1120kW-2240kW</t>
  </si>
  <si>
    <t>2400kW-3280kW</t>
  </si>
  <si>
    <t>180-1270</t>
  </si>
  <si>
    <t>1270-2000</t>
  </si>
  <si>
    <t>2000-3620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</si>
</sst>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" fontId="3" fillId="0" borderId="0" xfId="0" applyNumberFormat="1" applyFont="1"/>
    <xf numFmtId="9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1" fontId="4" fillId="0" borderId="0" xfId="0" applyNumberFormat="1" applyFont="1"/>
    <xf numFmtId="9" fontId="2" fillId="0" borderId="0" xfId="0" applyNumberFormat="1" applyFont="1"/>
    <xf numFmtId="0" fontId="2" fillId="2" borderId="0" xfId="0" applyFont="1" applyFill="1"/>
    <xf numFmtId="0" fontId="2" fillId="0" borderId="0" xfId="0" applyFont="1" applyFill="1"/>
    <xf numFmtId="0" fontId="1" fillId="0" borderId="0" xfId="0" applyFont="1"/>
    <xf numFmtId="0" fontId="1" fillId="0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Pot [kW]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'30 min_2m'!$D$4:$D$34</c:f>
              <c:numCache>
                <c:formatCode>General</c:formatCode>
                <c:ptCount val="31"/>
                <c:pt idx="0">
                  <c:v>8</c:v>
                </c:pt>
                <c:pt idx="1">
                  <c:v>8.5</c:v>
                </c:pt>
                <c:pt idx="2">
                  <c:v>9</c:v>
                </c:pt>
                <c:pt idx="3">
                  <c:v>9.5</c:v>
                </c:pt>
                <c:pt idx="4">
                  <c:v>10</c:v>
                </c:pt>
                <c:pt idx="5">
                  <c:v>10.5</c:v>
                </c:pt>
                <c:pt idx="6" formatCode="0">
                  <c:v>11</c:v>
                </c:pt>
                <c:pt idx="7" formatCode="0.00">
                  <c:v>11.5</c:v>
                </c:pt>
                <c:pt idx="8" formatCode="0">
                  <c:v>12</c:v>
                </c:pt>
                <c:pt idx="9" formatCode="0.00">
                  <c:v>12.5</c:v>
                </c:pt>
                <c:pt idx="10" formatCode="0">
                  <c:v>13</c:v>
                </c:pt>
                <c:pt idx="11" formatCode="0.00">
                  <c:v>13.5</c:v>
                </c:pt>
                <c:pt idx="12" formatCode="0">
                  <c:v>13.995357142857101</c:v>
                </c:pt>
                <c:pt idx="13" formatCode="0.00">
                  <c:v>14.5</c:v>
                </c:pt>
                <c:pt idx="14" formatCode="0">
                  <c:v>14.994999999999999</c:v>
                </c:pt>
                <c:pt idx="15" formatCode="0.00">
                  <c:v>15.5</c:v>
                </c:pt>
                <c:pt idx="16" formatCode="0">
                  <c:v>15.9946428571428</c:v>
                </c:pt>
                <c:pt idx="17" formatCode="0.00">
                  <c:v>16.5</c:v>
                </c:pt>
                <c:pt idx="18" formatCode="0">
                  <c:v>16.994285714285699</c:v>
                </c:pt>
                <c:pt idx="19" formatCode="0.00">
                  <c:v>17.5</c:v>
                </c:pt>
                <c:pt idx="20" formatCode="0">
                  <c:v>17.993928571428601</c:v>
                </c:pt>
              </c:numCache>
            </c:numRef>
          </c:xVal>
          <c:yVal>
            <c:numRef>
              <c:f>'30 min_2m'!$F$4:$F$34</c:f>
              <c:numCache>
                <c:formatCode>General</c:formatCode>
                <c:ptCount val="31"/>
                <c:pt idx="0">
                  <c:v>0</c:v>
                </c:pt>
                <c:pt idx="1">
                  <c:v>365</c:v>
                </c:pt>
                <c:pt idx="2">
                  <c:v>912.5</c:v>
                </c:pt>
                <c:pt idx="3">
                  <c:v>1460</c:v>
                </c:pt>
                <c:pt idx="4">
                  <c:v>3467.5</c:v>
                </c:pt>
                <c:pt idx="5">
                  <c:v>2737.5</c:v>
                </c:pt>
                <c:pt idx="6">
                  <c:v>1277.5</c:v>
                </c:pt>
                <c:pt idx="7">
                  <c:v>547.5</c:v>
                </c:pt>
                <c:pt idx="8">
                  <c:v>182.5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182.5</c:v>
                </c:pt>
                <c:pt idx="13">
                  <c:v>547.5</c:v>
                </c:pt>
                <c:pt idx="14">
                  <c:v>912.5</c:v>
                </c:pt>
                <c:pt idx="15">
                  <c:v>1277.5</c:v>
                </c:pt>
                <c:pt idx="16">
                  <c:v>3467.5</c:v>
                </c:pt>
                <c:pt idx="17">
                  <c:v>2555</c:v>
                </c:pt>
                <c:pt idx="18">
                  <c:v>1642.5</c:v>
                </c:pt>
                <c:pt idx="19">
                  <c:v>1095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B6-4913-A83C-40DC17623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272985"/>
        <c:axId val="2097699243"/>
      </c:scatterChart>
      <c:valAx>
        <c:axId val="3342729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2097699243"/>
        <c:crosses val="autoZero"/>
        <c:crossBetween val="midCat"/>
      </c:valAx>
      <c:valAx>
        <c:axId val="2097699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33427298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eff_sfc_rel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'30 min_2m'!$D$4:$D$34</c:f>
              <c:numCache>
                <c:formatCode>General</c:formatCode>
                <c:ptCount val="31"/>
                <c:pt idx="0">
                  <c:v>8</c:v>
                </c:pt>
                <c:pt idx="1">
                  <c:v>8.5</c:v>
                </c:pt>
                <c:pt idx="2">
                  <c:v>9</c:v>
                </c:pt>
                <c:pt idx="3">
                  <c:v>9.5</c:v>
                </c:pt>
                <c:pt idx="4">
                  <c:v>10</c:v>
                </c:pt>
                <c:pt idx="5">
                  <c:v>10.5</c:v>
                </c:pt>
                <c:pt idx="6" formatCode="0">
                  <c:v>11</c:v>
                </c:pt>
                <c:pt idx="7" formatCode="0.00">
                  <c:v>11.5</c:v>
                </c:pt>
                <c:pt idx="8" formatCode="0">
                  <c:v>12</c:v>
                </c:pt>
                <c:pt idx="9" formatCode="0.00">
                  <c:v>12.5</c:v>
                </c:pt>
                <c:pt idx="10" formatCode="0">
                  <c:v>13</c:v>
                </c:pt>
                <c:pt idx="11" formatCode="0.00">
                  <c:v>13.5</c:v>
                </c:pt>
                <c:pt idx="12" formatCode="0">
                  <c:v>13.995357142857101</c:v>
                </c:pt>
                <c:pt idx="13" formatCode="0.00">
                  <c:v>14.5</c:v>
                </c:pt>
                <c:pt idx="14" formatCode="0">
                  <c:v>14.994999999999999</c:v>
                </c:pt>
                <c:pt idx="15" formatCode="0.00">
                  <c:v>15.5</c:v>
                </c:pt>
                <c:pt idx="16" formatCode="0">
                  <c:v>15.9946428571428</c:v>
                </c:pt>
                <c:pt idx="17" formatCode="0.00">
                  <c:v>16.5</c:v>
                </c:pt>
                <c:pt idx="18" formatCode="0">
                  <c:v>16.994285714285699</c:v>
                </c:pt>
                <c:pt idx="19" formatCode="0.00">
                  <c:v>17.5</c:v>
                </c:pt>
                <c:pt idx="20" formatCode="0">
                  <c:v>17.993928571428601</c:v>
                </c:pt>
              </c:numCache>
            </c:numRef>
          </c:xVal>
          <c:yVal>
            <c:numRef>
              <c:f>'30 min_2m'!$L$4:$L$34</c:f>
              <c:numCache>
                <c:formatCode>General</c:formatCode>
                <c:ptCount val="31"/>
                <c:pt idx="0">
                  <c:v>0</c:v>
                </c:pt>
                <c:pt idx="1">
                  <c:v>69.937319189971063</c:v>
                </c:pt>
                <c:pt idx="2">
                  <c:v>83.139090561711882</c:v>
                </c:pt>
                <c:pt idx="3">
                  <c:v>92.467063323416909</c:v>
                </c:pt>
                <c:pt idx="4">
                  <c:v>99.759284731774414</c:v>
                </c:pt>
                <c:pt idx="5">
                  <c:v>99.759284731774414</c:v>
                </c:pt>
                <c:pt idx="6">
                  <c:v>89.90702479338843</c:v>
                </c:pt>
                <c:pt idx="7">
                  <c:v>74.742356578495361</c:v>
                </c:pt>
                <c:pt idx="8">
                  <c:v>64.947761194029852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64.947761194029852</c:v>
                </c:pt>
                <c:pt idx="13">
                  <c:v>74.742356578495361</c:v>
                </c:pt>
                <c:pt idx="14">
                  <c:v>83.139090561711882</c:v>
                </c:pt>
                <c:pt idx="15">
                  <c:v>89.90702479338843</c:v>
                </c:pt>
                <c:pt idx="16">
                  <c:v>99.759284731774414</c:v>
                </c:pt>
                <c:pt idx="17">
                  <c:v>99.440127970749543</c:v>
                </c:pt>
                <c:pt idx="18">
                  <c:v>94.515638575152053</c:v>
                </c:pt>
                <c:pt idx="19">
                  <c:v>86.821628092577811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8-43F5-80EF-4596CF399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719031"/>
        <c:axId val="996866573"/>
      </c:scatterChart>
      <c:valAx>
        <c:axId val="10667190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996866573"/>
        <c:crosses val="autoZero"/>
        <c:crossBetween val="midCat"/>
      </c:valAx>
      <c:valAx>
        <c:axId val="996866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06671903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Emiss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'30 min_2m'!$D$4:$D$34</c:f>
              <c:numCache>
                <c:formatCode>General</c:formatCode>
                <c:ptCount val="31"/>
                <c:pt idx="0">
                  <c:v>8</c:v>
                </c:pt>
                <c:pt idx="1">
                  <c:v>8.5</c:v>
                </c:pt>
                <c:pt idx="2">
                  <c:v>9</c:v>
                </c:pt>
                <c:pt idx="3">
                  <c:v>9.5</c:v>
                </c:pt>
                <c:pt idx="4">
                  <c:v>10</c:v>
                </c:pt>
                <c:pt idx="5">
                  <c:v>10.5</c:v>
                </c:pt>
                <c:pt idx="6" formatCode="0">
                  <c:v>11</c:v>
                </c:pt>
                <c:pt idx="7" formatCode="0.00">
                  <c:v>11.5</c:v>
                </c:pt>
                <c:pt idx="8" formatCode="0">
                  <c:v>12</c:v>
                </c:pt>
                <c:pt idx="9" formatCode="0.00">
                  <c:v>12.5</c:v>
                </c:pt>
                <c:pt idx="10" formatCode="0">
                  <c:v>13</c:v>
                </c:pt>
                <c:pt idx="11" formatCode="0.00">
                  <c:v>13.5</c:v>
                </c:pt>
                <c:pt idx="12" formatCode="0">
                  <c:v>13.995357142857101</c:v>
                </c:pt>
                <c:pt idx="13" formatCode="0.00">
                  <c:v>14.5</c:v>
                </c:pt>
                <c:pt idx="14" formatCode="0">
                  <c:v>14.994999999999999</c:v>
                </c:pt>
                <c:pt idx="15" formatCode="0.00">
                  <c:v>15.5</c:v>
                </c:pt>
                <c:pt idx="16" formatCode="0">
                  <c:v>15.9946428571428</c:v>
                </c:pt>
                <c:pt idx="17" formatCode="0.00">
                  <c:v>16.5</c:v>
                </c:pt>
                <c:pt idx="18" formatCode="0">
                  <c:v>16.994285714285699</c:v>
                </c:pt>
                <c:pt idx="19" formatCode="0.00">
                  <c:v>17.5</c:v>
                </c:pt>
                <c:pt idx="20" formatCode="0">
                  <c:v>17.993928571428601</c:v>
                </c:pt>
              </c:numCache>
            </c:numRef>
          </c:xVal>
          <c:yVal>
            <c:numRef>
              <c:f>'30 min_2m'!$M$4:$M$34</c:f>
              <c:numCache>
                <c:formatCode>General</c:formatCode>
                <c:ptCount val="31"/>
                <c:pt idx="0">
                  <c:v>0</c:v>
                </c:pt>
                <c:pt idx="1">
                  <c:v>0.36415966050000004</c:v>
                </c:pt>
                <c:pt idx="2">
                  <c:v>0.76583560875000001</c:v>
                </c:pt>
                <c:pt idx="3">
                  <c:v>1.1017263659999998</c:v>
                </c:pt>
                <c:pt idx="4">
                  <c:v>2.4253314322500001</c:v>
                </c:pt>
                <c:pt idx="5">
                  <c:v>1.9147353412499999</c:v>
                </c:pt>
                <c:pt idx="6">
                  <c:v>0.99146008499999994</c:v>
                </c:pt>
                <c:pt idx="7">
                  <c:v>0.51112284075000003</c:v>
                </c:pt>
                <c:pt idx="8">
                  <c:v>0.1960679625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0.1960679625</c:v>
                </c:pt>
                <c:pt idx="13">
                  <c:v>0.51112284075000003</c:v>
                </c:pt>
                <c:pt idx="14">
                  <c:v>0.76583560875000001</c:v>
                </c:pt>
                <c:pt idx="15">
                  <c:v>0.99146008499999994</c:v>
                </c:pt>
                <c:pt idx="16">
                  <c:v>2.4253314322500001</c:v>
                </c:pt>
                <c:pt idx="17">
                  <c:v>1.792822038</c:v>
                </c:pt>
                <c:pt idx="18">
                  <c:v>1.2125779244999999</c:v>
                </c:pt>
                <c:pt idx="19">
                  <c:v>0.88002324899999995</c:v>
                </c:pt>
                <c:pt idx="20">
                  <c:v>0</c:v>
                </c:pt>
                <c:pt idx="21">
                  <c:v>17.045680437750004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AC-4979-9155-D7376DA8F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581225"/>
        <c:axId val="1918462300"/>
      </c:scatterChart>
      <c:valAx>
        <c:axId val="9725812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918462300"/>
        <c:crosses val="autoZero"/>
        <c:crossBetween val="midCat"/>
      </c:valAx>
      <c:valAx>
        <c:axId val="1918462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97258122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409575</xdr:colOff>
      <xdr:row>2</xdr:row>
      <xdr:rowOff>19050</xdr:rowOff>
    </xdr:from>
    <xdr:ext cx="4857750" cy="2876550"/>
    <xdr:graphicFrame macro="">
      <xdr:nvGraphicFramePr>
        <xdr:cNvPr id="168012174" name="Chart 25">
          <a:extLst>
            <a:ext uri="{FF2B5EF4-FFF2-40B4-BE49-F238E27FC236}">
              <a16:creationId xmlns:a16="http://schemas.microsoft.com/office/drawing/2014/main" id="{00000000-0008-0000-0400-00008EA90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23</xdr:col>
      <xdr:colOff>666750</xdr:colOff>
      <xdr:row>2</xdr:row>
      <xdr:rowOff>28575</xdr:rowOff>
    </xdr:from>
    <xdr:ext cx="4857750" cy="2876550"/>
    <xdr:graphicFrame macro="">
      <xdr:nvGraphicFramePr>
        <xdr:cNvPr id="1027617557" name="Chart 26">
          <a:extLst>
            <a:ext uri="{FF2B5EF4-FFF2-40B4-BE49-F238E27FC236}">
              <a16:creationId xmlns:a16="http://schemas.microsoft.com/office/drawing/2014/main" id="{00000000-0008-0000-0400-000015334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17</xdr:col>
      <xdr:colOff>447675</xdr:colOff>
      <xdr:row>17</xdr:row>
      <xdr:rowOff>95250</xdr:rowOff>
    </xdr:from>
    <xdr:ext cx="4857750" cy="2876550"/>
    <xdr:graphicFrame macro="">
      <xdr:nvGraphicFramePr>
        <xdr:cNvPr id="729454711" name="Chart 27">
          <a:extLst>
            <a:ext uri="{FF2B5EF4-FFF2-40B4-BE49-F238E27FC236}">
              <a16:creationId xmlns:a16="http://schemas.microsoft.com/office/drawing/2014/main" id="{00000000-0008-0000-0400-000077987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tabSelected="1" topLeftCell="D4" workbookViewId="0">
      <selection activeCell="F10" sqref="F10"/>
    </sheetView>
  </sheetViews>
  <sheetFormatPr baseColWidth="10" defaultColWidth="12.5703125" defaultRowHeight="15" customHeight="1" x14ac:dyDescent="0.25"/>
  <cols>
    <col min="1" max="1" width="16.5703125" customWidth="1"/>
    <col min="2" max="4" width="15.42578125" customWidth="1"/>
    <col min="5" max="5" width="10.5703125" customWidth="1"/>
    <col min="6" max="7" width="16.5703125" customWidth="1"/>
    <col min="8" max="13" width="10.5703125" customWidth="1"/>
    <col min="14" max="14" width="16.5703125" customWidth="1"/>
    <col min="15" max="17" width="15.42578125" customWidth="1"/>
    <col min="18" max="20" width="10.5703125" customWidth="1"/>
    <col min="21" max="21" width="12.140625" customWidth="1"/>
    <col min="22" max="22" width="10.5703125" customWidth="1"/>
    <col min="23" max="23" width="11.7109375" customWidth="1"/>
    <col min="24" max="40" width="10.5703125" customWidth="1"/>
  </cols>
  <sheetData>
    <row r="1" spans="1:19" ht="15" customHeight="1" x14ac:dyDescent="0.25">
      <c r="B1" s="12" t="s">
        <v>31</v>
      </c>
    </row>
    <row r="2" spans="1:19" ht="15" customHeight="1" x14ac:dyDescent="0.25">
      <c r="B2" s="13" t="s">
        <v>32</v>
      </c>
    </row>
    <row r="3" spans="1:19" ht="15" customHeight="1" x14ac:dyDescent="0.25">
      <c r="B3" s="14" t="s">
        <v>33</v>
      </c>
    </row>
    <row r="6" spans="1:19" x14ac:dyDescent="0.25">
      <c r="A6" s="1" t="s">
        <v>0</v>
      </c>
      <c r="B6" s="1" t="s">
        <v>1</v>
      </c>
      <c r="C6" s="1" t="s">
        <v>3</v>
      </c>
      <c r="D6" s="1" t="s">
        <v>14</v>
      </c>
      <c r="E6" s="1" t="s">
        <v>2</v>
      </c>
      <c r="F6" s="1" t="s">
        <v>4</v>
      </c>
      <c r="G6" s="1" t="s">
        <v>5</v>
      </c>
      <c r="H6" s="1" t="s">
        <v>6</v>
      </c>
      <c r="I6" s="1" t="s">
        <v>7</v>
      </c>
      <c r="J6" s="9" t="s">
        <v>8</v>
      </c>
      <c r="K6" s="1" t="s">
        <v>15</v>
      </c>
      <c r="L6" s="1" t="s">
        <v>16</v>
      </c>
      <c r="M6" s="1" t="s">
        <v>9</v>
      </c>
      <c r="N6" s="1" t="s">
        <v>10</v>
      </c>
      <c r="O6" s="1" t="s">
        <v>11</v>
      </c>
      <c r="P6" s="1" t="s">
        <v>18</v>
      </c>
      <c r="Q6" s="1" t="s">
        <v>19</v>
      </c>
      <c r="R6" s="1" t="s">
        <v>12</v>
      </c>
      <c r="S6" s="1" t="s">
        <v>17</v>
      </c>
    </row>
    <row r="7" spans="1:19" x14ac:dyDescent="0.25">
      <c r="A7" s="1">
        <v>832.5</v>
      </c>
      <c r="B7" s="1">
        <f>A7*1000</f>
        <v>832500</v>
      </c>
      <c r="C7" s="1">
        <f>2*217.575</f>
        <v>435.15</v>
      </c>
      <c r="D7" s="1">
        <v>1</v>
      </c>
      <c r="E7" s="1">
        <v>0.5</v>
      </c>
      <c r="F7" s="1">
        <v>8</v>
      </c>
      <c r="G7" s="1">
        <v>0</v>
      </c>
      <c r="H7" s="1">
        <f>2*1825*G7</f>
        <v>0</v>
      </c>
      <c r="I7" s="10">
        <v>0</v>
      </c>
      <c r="J7" s="1">
        <v>0</v>
      </c>
      <c r="K7" s="1">
        <v>0</v>
      </c>
      <c r="L7" s="1">
        <f t="shared" ref="L7:L27" si="0">100-J7</f>
        <v>100</v>
      </c>
      <c r="M7" s="1">
        <f t="shared" ref="M7:M27" si="1">H7*$E$7</f>
        <v>0</v>
      </c>
      <c r="N7" s="1">
        <v>0</v>
      </c>
      <c r="O7" s="1">
        <f t="shared" ref="O7:O27" si="2">(H7*I7)/$B$7</f>
        <v>0</v>
      </c>
      <c r="P7" s="1">
        <f>O7*1000</f>
        <v>0</v>
      </c>
      <c r="Q7" s="1">
        <f>P7*E7</f>
        <v>0</v>
      </c>
      <c r="R7" s="1">
        <f>I7*M7</f>
        <v>0</v>
      </c>
      <c r="S7" s="1">
        <f>(I7*H7*0.5*3.207)/1000000</f>
        <v>0</v>
      </c>
    </row>
    <row r="8" spans="1:19" x14ac:dyDescent="0.25">
      <c r="F8" s="1">
        <v>8.5000000000000107</v>
      </c>
      <c r="G8" s="1">
        <v>0</v>
      </c>
      <c r="H8" s="1">
        <f t="shared" ref="H8:H27" si="3">2*1825*G8</f>
        <v>0</v>
      </c>
      <c r="I8" s="1">
        <v>0</v>
      </c>
      <c r="J8" s="1">
        <v>0</v>
      </c>
      <c r="K8" s="1">
        <v>0</v>
      </c>
      <c r="L8" s="1">
        <f t="shared" si="0"/>
        <v>100</v>
      </c>
      <c r="M8" s="1">
        <f t="shared" si="1"/>
        <v>0</v>
      </c>
      <c r="N8" s="1">
        <v>0</v>
      </c>
      <c r="O8" s="1">
        <f t="shared" si="2"/>
        <v>0</v>
      </c>
      <c r="P8" s="1">
        <f>O8*1000</f>
        <v>0</v>
      </c>
      <c r="Q8" s="1">
        <f t="shared" ref="Q8:Q27" si="4">P8*$E$7+Q7</f>
        <v>0</v>
      </c>
      <c r="R8" s="1">
        <f>I8*M8</f>
        <v>0</v>
      </c>
      <c r="S8" s="1">
        <f>(I8*H8*0.5*3.207)/1000000</f>
        <v>0</v>
      </c>
    </row>
    <row r="9" spans="1:19" x14ac:dyDescent="0.25">
      <c r="F9" s="1">
        <v>9.0000000000000107</v>
      </c>
      <c r="G9" s="1">
        <v>0.05</v>
      </c>
      <c r="H9" s="8">
        <f t="shared" si="3"/>
        <v>182.5</v>
      </c>
      <c r="I9" s="9">
        <f>2*335</f>
        <v>670</v>
      </c>
      <c r="J9" s="1">
        <f>$C$7*100/I9</f>
        <v>64.947761194029852</v>
      </c>
      <c r="K9" s="1">
        <f t="shared" ref="K9:K27" si="5">J9/H9</f>
        <v>0.35587814352893071</v>
      </c>
      <c r="L9" s="1">
        <f t="shared" si="0"/>
        <v>35.052238805970148</v>
      </c>
      <c r="M9" s="1">
        <f t="shared" si="1"/>
        <v>91.25</v>
      </c>
      <c r="N9" s="1">
        <f t="shared" ref="N9:N26" si="6">I9/H9</f>
        <v>3.6712328767123288</v>
      </c>
      <c r="O9" s="1">
        <f>(H9*I9)/$B$7</f>
        <v>0.14687687687687687</v>
      </c>
      <c r="P9" s="1">
        <f>O9*1000</f>
        <v>146.87687687687688</v>
      </c>
      <c r="Q9" s="1">
        <f t="shared" si="4"/>
        <v>73.438438438438439</v>
      </c>
      <c r="R9" s="1">
        <f>I9*M9</f>
        <v>61137.5</v>
      </c>
      <c r="S9" s="1">
        <f>(I9*H9*0.5*3.207)/1000000</f>
        <v>0.1960679625</v>
      </c>
    </row>
    <row r="10" spans="1:19" x14ac:dyDescent="0.25">
      <c r="F10" s="1">
        <v>9.5000000000000195</v>
      </c>
      <c r="G10" s="1">
        <v>0.05</v>
      </c>
      <c r="H10" s="8">
        <f t="shared" si="3"/>
        <v>182.5</v>
      </c>
      <c r="I10" s="11">
        <f>2*335</f>
        <v>670</v>
      </c>
      <c r="J10" s="1">
        <f t="shared" ref="J10:J26" si="7">$C$7*100/I10</f>
        <v>64.947761194029852</v>
      </c>
      <c r="K10" s="1">
        <f t="shared" si="5"/>
        <v>0.35587814352893071</v>
      </c>
      <c r="L10" s="1">
        <f t="shared" si="0"/>
        <v>35.052238805970148</v>
      </c>
      <c r="M10" s="1">
        <f t="shared" si="1"/>
        <v>91.25</v>
      </c>
      <c r="N10" s="1">
        <f t="shared" si="6"/>
        <v>3.6712328767123288</v>
      </c>
      <c r="O10" s="1">
        <f t="shared" si="2"/>
        <v>0.14687687687687687</v>
      </c>
      <c r="P10" s="1">
        <f>O10*1000</f>
        <v>146.87687687687688</v>
      </c>
      <c r="Q10" s="1">
        <f t="shared" si="4"/>
        <v>146.87687687687688</v>
      </c>
      <c r="R10" s="1">
        <f>I10*M10</f>
        <v>61137.5</v>
      </c>
      <c r="S10" s="1">
        <f>(I10*H10*0.5*3.207)/1000000</f>
        <v>0.1960679625</v>
      </c>
    </row>
    <row r="11" spans="1:19" x14ac:dyDescent="0.25">
      <c r="F11" s="1">
        <v>10</v>
      </c>
      <c r="G11" s="1">
        <v>0.25</v>
      </c>
      <c r="H11" s="8">
        <f t="shared" si="3"/>
        <v>912.5</v>
      </c>
      <c r="I11" s="9">
        <f>2*261.7</f>
        <v>523.4</v>
      </c>
      <c r="J11" s="1">
        <f t="shared" si="7"/>
        <v>83.139090561711882</v>
      </c>
      <c r="K11" s="1">
        <f t="shared" si="5"/>
        <v>9.1111332122423977E-2</v>
      </c>
      <c r="L11" s="1">
        <f t="shared" si="0"/>
        <v>16.860909438288118</v>
      </c>
      <c r="M11" s="1">
        <f t="shared" si="1"/>
        <v>456.25</v>
      </c>
      <c r="N11" s="1">
        <f t="shared" si="6"/>
        <v>0.57358904109589037</v>
      </c>
      <c r="O11" s="1">
        <f t="shared" si="2"/>
        <v>0.57369669669669665</v>
      </c>
      <c r="P11" s="1">
        <f>O11*1000</f>
        <v>573.69669669669668</v>
      </c>
      <c r="Q11" s="1">
        <f t="shared" si="4"/>
        <v>433.72522522522524</v>
      </c>
      <c r="R11" s="1">
        <f>I11*M11</f>
        <v>238801.25</v>
      </c>
      <c r="S11" s="1">
        <f>(I11*H11*0.5*3.207)/1000000</f>
        <v>0.76583560875000001</v>
      </c>
    </row>
    <row r="12" spans="1:19" x14ac:dyDescent="0.25">
      <c r="F12" s="1">
        <v>10.5</v>
      </c>
      <c r="G12" s="1">
        <v>0.25</v>
      </c>
      <c r="H12" s="8">
        <f t="shared" si="3"/>
        <v>912.5</v>
      </c>
      <c r="I12" s="9">
        <f>2*261.7</f>
        <v>523.4</v>
      </c>
      <c r="J12" s="1">
        <f t="shared" si="7"/>
        <v>83.139090561711882</v>
      </c>
      <c r="K12" s="1">
        <f t="shared" si="5"/>
        <v>9.1111332122423977E-2</v>
      </c>
      <c r="L12" s="1">
        <f t="shared" si="0"/>
        <v>16.860909438288118</v>
      </c>
      <c r="M12" s="1">
        <f t="shared" si="1"/>
        <v>456.25</v>
      </c>
      <c r="N12" s="1">
        <f t="shared" si="6"/>
        <v>0.57358904109589037</v>
      </c>
      <c r="O12" s="1">
        <f t="shared" si="2"/>
        <v>0.57369669669669665</v>
      </c>
      <c r="P12" s="1">
        <f>O12*1000</f>
        <v>573.69669669669668</v>
      </c>
      <c r="Q12" s="1">
        <f t="shared" si="4"/>
        <v>720.57357357357364</v>
      </c>
      <c r="R12" s="1">
        <f>I12*M12</f>
        <v>238801.25</v>
      </c>
      <c r="S12" s="1">
        <f>(I12*H12*0.5*3.207)/1000000</f>
        <v>0.76583560875000001</v>
      </c>
    </row>
    <row r="13" spans="1:19" x14ac:dyDescent="0.25">
      <c r="F13" s="1">
        <v>11</v>
      </c>
      <c r="G13" s="1">
        <v>0.35</v>
      </c>
      <c r="H13" s="15">
        <f t="shared" si="3"/>
        <v>1277.5</v>
      </c>
      <c r="I13" s="9">
        <f>2*242</f>
        <v>484</v>
      </c>
      <c r="J13" s="1">
        <f t="shared" si="7"/>
        <v>89.90702479338843</v>
      </c>
      <c r="K13" s="1">
        <f t="shared" si="5"/>
        <v>7.0377318820656301E-2</v>
      </c>
      <c r="L13" s="1">
        <f t="shared" si="0"/>
        <v>10.09297520661157</v>
      </c>
      <c r="M13" s="1">
        <f t="shared" si="1"/>
        <v>638.75</v>
      </c>
      <c r="N13" s="1">
        <f t="shared" si="6"/>
        <v>0.37886497064579255</v>
      </c>
      <c r="O13" s="1">
        <f t="shared" si="2"/>
        <v>0.74271471471471473</v>
      </c>
      <c r="P13" s="1">
        <f>O13*1000</f>
        <v>742.71471471471477</v>
      </c>
      <c r="Q13" s="1">
        <f t="shared" si="4"/>
        <v>1091.930930930931</v>
      </c>
      <c r="R13" s="1">
        <f>I13*M13</f>
        <v>309155</v>
      </c>
      <c r="S13" s="1">
        <f>(I13*H13*0.5*3.207)/1000000</f>
        <v>0.99146008499999994</v>
      </c>
    </row>
    <row r="14" spans="1:19" x14ac:dyDescent="0.25">
      <c r="F14" s="1">
        <v>11.5</v>
      </c>
      <c r="G14" s="1">
        <v>0.55000000000000004</v>
      </c>
      <c r="H14" s="15">
        <f t="shared" si="3"/>
        <v>2007.5000000000002</v>
      </c>
      <c r="I14" s="9">
        <f>2*223.6</f>
        <v>447.2</v>
      </c>
      <c r="J14" s="1">
        <f t="shared" si="7"/>
        <v>97.305456171735244</v>
      </c>
      <c r="K14" s="1">
        <f t="shared" si="5"/>
        <v>4.8470961978448433E-2</v>
      </c>
      <c r="L14" s="1">
        <f t="shared" si="0"/>
        <v>2.6945438282647558</v>
      </c>
      <c r="M14" s="1">
        <f t="shared" si="1"/>
        <v>1003.7500000000001</v>
      </c>
      <c r="N14" s="1">
        <f t="shared" si="6"/>
        <v>0.22276463262764629</v>
      </c>
      <c r="O14" s="1">
        <f>(H14*I14)/$B$7</f>
        <v>1.0783831831831834</v>
      </c>
      <c r="P14" s="1">
        <f>O14*1000</f>
        <v>1078.3831831831833</v>
      </c>
      <c r="Q14" s="1">
        <f t="shared" si="4"/>
        <v>1631.1225225225226</v>
      </c>
      <c r="R14" s="1">
        <f>I14*M14</f>
        <v>448877.00000000006</v>
      </c>
      <c r="S14" s="1">
        <f>(I14*H14*0.5*3.207)/1000000</f>
        <v>1.439548539</v>
      </c>
    </row>
    <row r="15" spans="1:19" x14ac:dyDescent="0.25">
      <c r="F15" s="1">
        <v>12.000000000000099</v>
      </c>
      <c r="G15" s="1">
        <v>0.95</v>
      </c>
      <c r="H15" s="16">
        <f t="shared" si="3"/>
        <v>3467.5</v>
      </c>
      <c r="I15" s="9">
        <f>2*218.1</f>
        <v>436.2</v>
      </c>
      <c r="J15" s="1">
        <f>$C$7*100/I15</f>
        <v>99.759284731774414</v>
      </c>
      <c r="K15" s="1">
        <f t="shared" si="5"/>
        <v>2.8769800932018575E-2</v>
      </c>
      <c r="L15" s="1">
        <f t="shared" si="0"/>
        <v>0.24071526822558553</v>
      </c>
      <c r="M15" s="1">
        <f t="shared" si="1"/>
        <v>1733.75</v>
      </c>
      <c r="N15" s="1">
        <f t="shared" si="6"/>
        <v>0.12579668348954579</v>
      </c>
      <c r="O15" s="1">
        <f t="shared" si="2"/>
        <v>1.8168450450450451</v>
      </c>
      <c r="P15" s="1">
        <f>O15*1000</f>
        <v>1816.845045045045</v>
      </c>
      <c r="Q15" s="1">
        <f t="shared" si="4"/>
        <v>2539.5450450450453</v>
      </c>
      <c r="R15" s="1">
        <f>I15*M15</f>
        <v>756261.75</v>
      </c>
      <c r="S15" s="1">
        <f>(I15*H15*0.5*3.207)/1000000</f>
        <v>2.4253314322500001</v>
      </c>
    </row>
    <row r="16" spans="1:19" x14ac:dyDescent="0.25">
      <c r="F16" s="1">
        <v>12.500000000000099</v>
      </c>
      <c r="G16" s="1">
        <v>0.55000000000000004</v>
      </c>
      <c r="H16" s="15">
        <f t="shared" si="3"/>
        <v>2007.5000000000002</v>
      </c>
      <c r="I16" s="9">
        <f>2*223.6</f>
        <v>447.2</v>
      </c>
      <c r="J16" s="1">
        <f t="shared" si="7"/>
        <v>97.305456171735244</v>
      </c>
      <c r="K16" s="1">
        <f t="shared" si="5"/>
        <v>4.8470961978448433E-2</v>
      </c>
      <c r="L16" s="1">
        <f t="shared" si="0"/>
        <v>2.6945438282647558</v>
      </c>
      <c r="M16" s="1">
        <f t="shared" si="1"/>
        <v>1003.7500000000001</v>
      </c>
      <c r="N16" s="1">
        <f t="shared" si="6"/>
        <v>0.22276463262764629</v>
      </c>
      <c r="O16" s="1">
        <f t="shared" si="2"/>
        <v>1.0783831831831834</v>
      </c>
      <c r="P16" s="1">
        <f>O16*1000</f>
        <v>1078.3831831831833</v>
      </c>
      <c r="Q16" s="1">
        <f t="shared" si="4"/>
        <v>3078.7366366366368</v>
      </c>
      <c r="R16" s="1">
        <f>I16*M16</f>
        <v>448877.00000000006</v>
      </c>
      <c r="S16" s="1">
        <f>(I16*H16*0.5*3.207)/1000000</f>
        <v>1.439548539</v>
      </c>
    </row>
    <row r="17" spans="6:23" x14ac:dyDescent="0.25">
      <c r="F17" s="1">
        <v>13.000000000000099</v>
      </c>
      <c r="G17" s="1">
        <v>0.55000000000000004</v>
      </c>
      <c r="H17" s="15">
        <f t="shared" si="3"/>
        <v>2007.5000000000002</v>
      </c>
      <c r="I17" s="9">
        <f>2*223.6</f>
        <v>447.2</v>
      </c>
      <c r="J17" s="1">
        <f t="shared" si="7"/>
        <v>97.305456171735244</v>
      </c>
      <c r="K17" s="1">
        <f t="shared" si="5"/>
        <v>4.8470961978448433E-2</v>
      </c>
      <c r="L17" s="1">
        <f t="shared" si="0"/>
        <v>2.6945438282647558</v>
      </c>
      <c r="M17" s="1">
        <f t="shared" si="1"/>
        <v>1003.7500000000001</v>
      </c>
      <c r="N17" s="1">
        <f t="shared" si="6"/>
        <v>0.22276463262764629</v>
      </c>
      <c r="O17" s="1">
        <f t="shared" si="2"/>
        <v>1.0783831831831834</v>
      </c>
      <c r="P17" s="1">
        <f>O17*1000</f>
        <v>1078.3831831831833</v>
      </c>
      <c r="Q17" s="1">
        <f t="shared" si="4"/>
        <v>3617.9282282282284</v>
      </c>
      <c r="R17" s="1">
        <f>I17*M17</f>
        <v>448877.00000000006</v>
      </c>
      <c r="S17" s="1">
        <f>(I17*H17*0.5*3.207)/1000000</f>
        <v>1.439548539</v>
      </c>
    </row>
    <row r="18" spans="6:23" x14ac:dyDescent="0.25">
      <c r="F18" s="1">
        <v>13.500000000000099</v>
      </c>
      <c r="G18" s="1">
        <v>0.35</v>
      </c>
      <c r="H18" s="15">
        <f t="shared" si="3"/>
        <v>1277.5</v>
      </c>
      <c r="I18" s="9">
        <f>2*242</f>
        <v>484</v>
      </c>
      <c r="J18" s="1">
        <f t="shared" si="7"/>
        <v>89.90702479338843</v>
      </c>
      <c r="K18" s="1">
        <f t="shared" si="5"/>
        <v>7.0377318820656301E-2</v>
      </c>
      <c r="L18" s="1">
        <f t="shared" si="0"/>
        <v>10.09297520661157</v>
      </c>
      <c r="M18" s="1">
        <f t="shared" si="1"/>
        <v>638.75</v>
      </c>
      <c r="N18" s="1">
        <f t="shared" si="6"/>
        <v>0.37886497064579255</v>
      </c>
      <c r="O18" s="1">
        <f t="shared" si="2"/>
        <v>0.74271471471471473</v>
      </c>
      <c r="P18" s="1">
        <f>O18*1000</f>
        <v>742.71471471471477</v>
      </c>
      <c r="Q18" s="1">
        <f t="shared" si="4"/>
        <v>3989.285585585586</v>
      </c>
      <c r="R18" s="1">
        <f>I18*M18</f>
        <v>309155</v>
      </c>
      <c r="S18" s="1">
        <f>(I18*H18*0.5*3.207)/1000000</f>
        <v>0.99146008499999994</v>
      </c>
    </row>
    <row r="19" spans="6:23" x14ac:dyDescent="0.25">
      <c r="F19" s="1">
        <v>14.000000000000099</v>
      </c>
      <c r="G19" s="1">
        <v>0.25</v>
      </c>
      <c r="H19" s="8">
        <f t="shared" si="3"/>
        <v>912.5</v>
      </c>
      <c r="I19" s="9">
        <f>2*261.7</f>
        <v>523.4</v>
      </c>
      <c r="J19" s="1">
        <f t="shared" si="7"/>
        <v>83.139090561711882</v>
      </c>
      <c r="K19" s="1">
        <f t="shared" si="5"/>
        <v>9.1111332122423977E-2</v>
      </c>
      <c r="L19" s="1">
        <f t="shared" si="0"/>
        <v>16.860909438288118</v>
      </c>
      <c r="M19" s="1">
        <f t="shared" si="1"/>
        <v>456.25</v>
      </c>
      <c r="N19" s="1">
        <f t="shared" si="6"/>
        <v>0.57358904109589037</v>
      </c>
      <c r="O19" s="1">
        <f t="shared" si="2"/>
        <v>0.57369669669669665</v>
      </c>
      <c r="P19" s="1">
        <f>O19*1000</f>
        <v>573.69669669669668</v>
      </c>
      <c r="Q19" s="1">
        <f t="shared" si="4"/>
        <v>4276.1339339339347</v>
      </c>
      <c r="R19" s="1">
        <f>I19*M19</f>
        <v>238801.25</v>
      </c>
      <c r="S19" s="1">
        <f>(I19*H19*0.5*3.207)/1000000</f>
        <v>0.76583560875000001</v>
      </c>
    </row>
    <row r="20" spans="6:23" x14ac:dyDescent="0.25">
      <c r="F20" s="1">
        <v>14.500000000000099</v>
      </c>
      <c r="G20" s="1">
        <v>0.25</v>
      </c>
      <c r="H20" s="8">
        <f t="shared" si="3"/>
        <v>912.5</v>
      </c>
      <c r="I20" s="9">
        <f>2*261.7</f>
        <v>523.4</v>
      </c>
      <c r="J20" s="1">
        <f t="shared" si="7"/>
        <v>83.139090561711882</v>
      </c>
      <c r="K20" s="1">
        <f t="shared" si="5"/>
        <v>9.1111332122423977E-2</v>
      </c>
      <c r="L20" s="1">
        <f t="shared" si="0"/>
        <v>16.860909438288118</v>
      </c>
      <c r="M20" s="1">
        <f t="shared" si="1"/>
        <v>456.25</v>
      </c>
      <c r="N20" s="1">
        <f t="shared" si="6"/>
        <v>0.57358904109589037</v>
      </c>
      <c r="O20" s="1">
        <f t="shared" si="2"/>
        <v>0.57369669669669665</v>
      </c>
      <c r="P20" s="1">
        <f>O20*1000</f>
        <v>573.69669669669668</v>
      </c>
      <c r="Q20" s="1">
        <f t="shared" si="4"/>
        <v>4562.9822822822834</v>
      </c>
      <c r="R20" s="1">
        <f>I20*M20</f>
        <v>238801.25</v>
      </c>
      <c r="S20" s="1">
        <f>(I20*H20*0.5*3.207)/1000000</f>
        <v>0.76583560875000001</v>
      </c>
    </row>
    <row r="21" spans="6:23" ht="15.75" customHeight="1" x14ac:dyDescent="0.25">
      <c r="F21" s="1">
        <v>15.000000000000099</v>
      </c>
      <c r="G21" s="1">
        <v>0.15</v>
      </c>
      <c r="H21" s="8">
        <f t="shared" si="3"/>
        <v>547.5</v>
      </c>
      <c r="I21" s="9">
        <f>2*291.1</f>
        <v>582.20000000000005</v>
      </c>
      <c r="J21" s="1">
        <f t="shared" si="7"/>
        <v>74.742356578495361</v>
      </c>
      <c r="K21" s="1">
        <f t="shared" si="5"/>
        <v>0.13651571977807372</v>
      </c>
      <c r="L21" s="1">
        <f t="shared" si="0"/>
        <v>25.257643421504639</v>
      </c>
      <c r="M21" s="1">
        <f t="shared" si="1"/>
        <v>273.75</v>
      </c>
      <c r="N21" s="1">
        <f t="shared" si="6"/>
        <v>1.06337899543379</v>
      </c>
      <c r="O21" s="1">
        <f t="shared" si="2"/>
        <v>0.3828882882882883</v>
      </c>
      <c r="P21" s="1">
        <f>O21*1000</f>
        <v>382.88828828828832</v>
      </c>
      <c r="Q21" s="1">
        <f t="shared" si="4"/>
        <v>4754.4264264264275</v>
      </c>
      <c r="R21" s="1">
        <f>I21*M21</f>
        <v>159377.25</v>
      </c>
      <c r="S21" s="1">
        <f>(I21*H21*0.5*3.207)/1000000</f>
        <v>0.51112284075000003</v>
      </c>
    </row>
    <row r="22" spans="6:23" ht="15.75" customHeight="1" x14ac:dyDescent="0.25">
      <c r="F22" s="1">
        <v>15.500000000000099</v>
      </c>
      <c r="G22" s="1">
        <v>0.15</v>
      </c>
      <c r="H22" s="8">
        <f t="shared" si="3"/>
        <v>547.5</v>
      </c>
      <c r="I22" s="9">
        <f>2*291.1</f>
        <v>582.20000000000005</v>
      </c>
      <c r="J22" s="1">
        <f t="shared" si="7"/>
        <v>74.742356578495361</v>
      </c>
      <c r="K22" s="1">
        <f t="shared" si="5"/>
        <v>0.13651571977807372</v>
      </c>
      <c r="L22" s="1">
        <f t="shared" si="0"/>
        <v>25.257643421504639</v>
      </c>
      <c r="M22" s="1">
        <f t="shared" si="1"/>
        <v>273.75</v>
      </c>
      <c r="N22" s="1">
        <f t="shared" si="6"/>
        <v>1.06337899543379</v>
      </c>
      <c r="O22" s="1">
        <f t="shared" si="2"/>
        <v>0.3828882882882883</v>
      </c>
      <c r="P22" s="1">
        <f>O22*1000</f>
        <v>382.88828828828832</v>
      </c>
      <c r="Q22" s="1">
        <f t="shared" si="4"/>
        <v>4945.8705705705715</v>
      </c>
      <c r="R22" s="1">
        <f>I22*M22</f>
        <v>159377.25</v>
      </c>
      <c r="S22" s="1">
        <f>(I22*H22*0.5*3.207)/1000000</f>
        <v>0.51112284075000003</v>
      </c>
    </row>
    <row r="23" spans="6:23" ht="15.75" customHeight="1" x14ac:dyDescent="0.25">
      <c r="F23" s="1">
        <v>16.000000000000099</v>
      </c>
      <c r="G23" s="1">
        <v>0.1</v>
      </c>
      <c r="H23" s="8">
        <f t="shared" si="3"/>
        <v>365</v>
      </c>
      <c r="I23" s="9">
        <f>2*311.1</f>
        <v>622.20000000000005</v>
      </c>
      <c r="J23" s="1">
        <f t="shared" si="7"/>
        <v>69.937319189971063</v>
      </c>
      <c r="K23" s="1">
        <f t="shared" si="5"/>
        <v>0.19160909367115359</v>
      </c>
      <c r="L23" s="1">
        <f t="shared" si="0"/>
        <v>30.062680810028937</v>
      </c>
      <c r="M23" s="1">
        <f t="shared" si="1"/>
        <v>182.5</v>
      </c>
      <c r="N23" s="1">
        <f t="shared" si="6"/>
        <v>1.7046575342465755</v>
      </c>
      <c r="O23" s="1">
        <f t="shared" si="2"/>
        <v>0.27279639639639641</v>
      </c>
      <c r="P23" s="1">
        <f>O23*1000</f>
        <v>272.7963963963964</v>
      </c>
      <c r="Q23" s="1">
        <f t="shared" si="4"/>
        <v>5082.2687687687694</v>
      </c>
      <c r="R23" s="1">
        <f>I23*M23</f>
        <v>113551.50000000001</v>
      </c>
      <c r="S23" s="1">
        <f>(I23*H23*0.5*3.207)/1000000</f>
        <v>0.36415966050000004</v>
      </c>
    </row>
    <row r="24" spans="6:23" ht="15.75" customHeight="1" x14ac:dyDescent="0.25">
      <c r="F24" s="1">
        <v>16.500000000000099</v>
      </c>
      <c r="G24" s="1">
        <v>0.1</v>
      </c>
      <c r="H24" s="8">
        <f t="shared" si="3"/>
        <v>365</v>
      </c>
      <c r="I24" s="9">
        <f>2*311.1</f>
        <v>622.20000000000005</v>
      </c>
      <c r="J24" s="1">
        <f t="shared" si="7"/>
        <v>69.937319189971063</v>
      </c>
      <c r="K24" s="1">
        <f t="shared" si="5"/>
        <v>0.19160909367115359</v>
      </c>
      <c r="L24" s="1">
        <f t="shared" si="0"/>
        <v>30.062680810028937</v>
      </c>
      <c r="M24" s="1">
        <f t="shared" si="1"/>
        <v>182.5</v>
      </c>
      <c r="N24" s="1">
        <f t="shared" si="6"/>
        <v>1.7046575342465755</v>
      </c>
      <c r="O24" s="1">
        <f t="shared" si="2"/>
        <v>0.27279639639639641</v>
      </c>
      <c r="P24" s="1">
        <f>O24*1000</f>
        <v>272.7963963963964</v>
      </c>
      <c r="Q24" s="1">
        <f t="shared" si="4"/>
        <v>5218.6669669669673</v>
      </c>
      <c r="R24" s="1">
        <f>I24*M24</f>
        <v>113551.50000000001</v>
      </c>
      <c r="S24" s="1">
        <f>(I24*H24*0.5*3.207)/1000000</f>
        <v>0.36415966050000004</v>
      </c>
      <c r="U24" s="1" t="s">
        <v>20</v>
      </c>
      <c r="V24" s="1" t="s">
        <v>21</v>
      </c>
      <c r="W24" s="1" t="s">
        <v>22</v>
      </c>
    </row>
    <row r="25" spans="6:23" ht="15.75" customHeight="1" x14ac:dyDescent="0.25">
      <c r="F25" s="1">
        <v>17.000000000000099</v>
      </c>
      <c r="G25" s="1">
        <v>0.05</v>
      </c>
      <c r="H25" s="8">
        <f t="shared" si="3"/>
        <v>182.5</v>
      </c>
      <c r="I25" s="9">
        <f>2*335</f>
        <v>670</v>
      </c>
      <c r="J25" s="1">
        <f t="shared" si="7"/>
        <v>64.947761194029852</v>
      </c>
      <c r="K25" s="1">
        <f t="shared" si="5"/>
        <v>0.35587814352893071</v>
      </c>
      <c r="L25" s="1">
        <f t="shared" si="0"/>
        <v>35.052238805970148</v>
      </c>
      <c r="M25" s="1">
        <f t="shared" si="1"/>
        <v>91.25</v>
      </c>
      <c r="N25" s="1">
        <f t="shared" si="6"/>
        <v>3.6712328767123288</v>
      </c>
      <c r="O25" s="1">
        <f t="shared" si="2"/>
        <v>0.14687687687687687</v>
      </c>
      <c r="P25" s="1">
        <f>O25*1000</f>
        <v>146.87687687687688</v>
      </c>
      <c r="Q25" s="1">
        <f t="shared" si="4"/>
        <v>5292.1054054054057</v>
      </c>
      <c r="R25" s="1">
        <f>I25*M25</f>
        <v>61137.5</v>
      </c>
      <c r="S25" s="1">
        <f>(I25*H25*0.5*3.207)/1000000</f>
        <v>0.1960679625</v>
      </c>
      <c r="U25" s="10" t="s">
        <v>34</v>
      </c>
      <c r="V25" s="2">
        <f>(P8+P9+P10+P11+P12+P19+P21+P20+P22+P23+P24+P25+P26)*0.5</f>
        <v>2096.831831831832</v>
      </c>
      <c r="W25" s="1">
        <f>(S8+S9+S10+S11+S12+S19+S20+S21+S22+S23+S24+S25+S26)</f>
        <v>5.5981792875000007</v>
      </c>
    </row>
    <row r="26" spans="6:23" ht="15.75" customHeight="1" x14ac:dyDescent="0.25">
      <c r="F26" s="1">
        <v>17.500000000000099</v>
      </c>
      <c r="G26" s="1">
        <v>0.05</v>
      </c>
      <c r="H26" s="8">
        <f t="shared" si="3"/>
        <v>182.5</v>
      </c>
      <c r="I26" s="9">
        <f>2*335</f>
        <v>670</v>
      </c>
      <c r="J26" s="1">
        <f t="shared" si="7"/>
        <v>64.947761194029852</v>
      </c>
      <c r="K26" s="1">
        <f t="shared" si="5"/>
        <v>0.35587814352893071</v>
      </c>
      <c r="L26" s="1">
        <f t="shared" si="0"/>
        <v>35.052238805970148</v>
      </c>
      <c r="M26" s="1">
        <f t="shared" si="1"/>
        <v>91.25</v>
      </c>
      <c r="N26" s="1">
        <f t="shared" si="6"/>
        <v>3.6712328767123288</v>
      </c>
      <c r="O26" s="1">
        <f t="shared" si="2"/>
        <v>0.14687687687687687</v>
      </c>
      <c r="P26" s="1">
        <f>O26*1000</f>
        <v>146.87687687687688</v>
      </c>
      <c r="Q26" s="1">
        <f t="shared" si="4"/>
        <v>5365.5438438438441</v>
      </c>
      <c r="R26" s="1">
        <f>I26*M26</f>
        <v>61137.5</v>
      </c>
      <c r="S26" s="1">
        <f>(I26*H26*0.5*3.207)/1000000</f>
        <v>0.1960679625</v>
      </c>
      <c r="U26" s="10" t="s">
        <v>35</v>
      </c>
      <c r="V26" s="2">
        <f>(P13+P14+P16+P17+P18)*0.5</f>
        <v>2360.2894894894898</v>
      </c>
      <c r="W26" s="1">
        <f>(S13+S14+S16+S17+S18+0)</f>
        <v>6.3015657869999995</v>
      </c>
    </row>
    <row r="27" spans="6:23" ht="15.75" customHeight="1" x14ac:dyDescent="0.25">
      <c r="F27" s="1">
        <v>18.000000000000099</v>
      </c>
      <c r="G27" s="1">
        <v>0</v>
      </c>
      <c r="H27" s="9">
        <f t="shared" si="3"/>
        <v>0</v>
      </c>
      <c r="I27" s="9">
        <v>0</v>
      </c>
      <c r="K27" s="1" t="e">
        <f t="shared" si="5"/>
        <v>#DIV/0!</v>
      </c>
      <c r="L27" s="1">
        <f t="shared" si="0"/>
        <v>100</v>
      </c>
      <c r="M27" s="1">
        <f t="shared" si="1"/>
        <v>0</v>
      </c>
      <c r="N27" s="1">
        <v>0</v>
      </c>
      <c r="O27" s="1">
        <f t="shared" si="2"/>
        <v>0</v>
      </c>
      <c r="P27" s="1">
        <f>O27*1000</f>
        <v>0</v>
      </c>
      <c r="Q27" s="1">
        <f t="shared" si="4"/>
        <v>5365.5438438438441</v>
      </c>
      <c r="R27" s="1">
        <f>I27*M27</f>
        <v>0</v>
      </c>
      <c r="S27" s="1">
        <f>(I27*H27*0.5*3.207)/1000000</f>
        <v>0</v>
      </c>
      <c r="U27" s="10" t="s">
        <v>36</v>
      </c>
      <c r="V27" s="2">
        <f>(P15+0)*0.5</f>
        <v>908.42252252252251</v>
      </c>
      <c r="W27" s="1">
        <f>S15</f>
        <v>2.4253314322500001</v>
      </c>
    </row>
    <row r="28" spans="6:23" ht="15.75" customHeight="1" x14ac:dyDescent="0.25">
      <c r="V28" s="2">
        <f t="shared" ref="V28:W28" si="8">SUM(V25:V27)</f>
        <v>5365.5438438438441</v>
      </c>
      <c r="W28" s="1">
        <f t="shared" si="8"/>
        <v>14.325076506750001</v>
      </c>
    </row>
    <row r="29" spans="6:23" ht="15.75" customHeight="1" x14ac:dyDescent="0.25"/>
    <row r="30" spans="6:23" ht="15.75" customHeight="1" x14ac:dyDescent="0.25">
      <c r="U30" s="1" t="s">
        <v>20</v>
      </c>
      <c r="V30" s="1" t="s">
        <v>21</v>
      </c>
      <c r="W30" s="1" t="s">
        <v>22</v>
      </c>
    </row>
    <row r="31" spans="6:23" ht="15.75" customHeight="1" x14ac:dyDescent="0.25">
      <c r="U31" s="10" t="s">
        <v>34</v>
      </c>
      <c r="V31" s="3">
        <f t="shared" ref="V31:V33" si="9">V25/$V$28</f>
        <v>0.39079576886462902</v>
      </c>
      <c r="W31" s="3">
        <f t="shared" ref="W31:W33" si="10">W25/$W$28</f>
        <v>0.39079576886462902</v>
      </c>
    </row>
    <row r="32" spans="6:23" ht="15.75" customHeight="1" x14ac:dyDescent="0.25">
      <c r="U32" s="10" t="s">
        <v>35</v>
      </c>
      <c r="V32" s="3">
        <f t="shared" si="9"/>
        <v>0.43989753102056328</v>
      </c>
      <c r="W32" s="3">
        <f t="shared" si="10"/>
        <v>0.43989753102056317</v>
      </c>
    </row>
    <row r="33" spans="21:23" ht="15.75" customHeight="1" x14ac:dyDescent="0.25">
      <c r="U33" s="10" t="s">
        <v>36</v>
      </c>
      <c r="V33" s="3">
        <f t="shared" si="9"/>
        <v>0.16930670011480775</v>
      </c>
      <c r="W33" s="3">
        <f t="shared" si="10"/>
        <v>0.16930670011480775</v>
      </c>
    </row>
    <row r="34" spans="21:23" ht="15.75" customHeight="1" x14ac:dyDescent="0.25">
      <c r="V34" s="2">
        <f t="shared" ref="V34:W34" si="11">SUM(V31:V33)</f>
        <v>1</v>
      </c>
      <c r="W34" s="3">
        <f t="shared" si="11"/>
        <v>0.99999999999999989</v>
      </c>
    </row>
    <row r="35" spans="21:23" ht="15.75" customHeight="1" x14ac:dyDescent="0.25"/>
    <row r="36" spans="21:23" ht="15.75" customHeight="1" x14ac:dyDescent="0.25"/>
    <row r="37" spans="21:23" ht="15.75" customHeight="1" x14ac:dyDescent="0.25"/>
    <row r="38" spans="21:23" ht="15.75" customHeight="1" x14ac:dyDescent="0.25"/>
    <row r="39" spans="21:23" ht="15.75" customHeight="1" x14ac:dyDescent="0.25"/>
    <row r="40" spans="21:23" ht="15.75" customHeight="1" x14ac:dyDescent="0.25"/>
    <row r="41" spans="21:23" ht="15.75" customHeight="1" x14ac:dyDescent="0.25"/>
    <row r="42" spans="21:23" ht="15.75" customHeight="1" x14ac:dyDescent="0.25"/>
    <row r="43" spans="21:23" ht="15.75" customHeight="1" x14ac:dyDescent="0.25"/>
    <row r="44" spans="21:23" ht="15.75" customHeight="1" x14ac:dyDescent="0.25"/>
    <row r="45" spans="21:23" ht="15.75" customHeight="1" x14ac:dyDescent="0.25"/>
    <row r="46" spans="21:23" ht="15.75" customHeight="1" x14ac:dyDescent="0.25"/>
    <row r="47" spans="21:23" ht="15.75" customHeight="1" x14ac:dyDescent="0.25"/>
    <row r="48" spans="21:2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Q1000"/>
  <sheetViews>
    <sheetView workbookViewId="0">
      <selection activeCell="I7" sqref="I7"/>
    </sheetView>
  </sheetViews>
  <sheetFormatPr baseColWidth="10" defaultColWidth="12.5703125" defaultRowHeight="15" customHeight="1" x14ac:dyDescent="0.25"/>
  <cols>
    <col min="1" max="1" width="15.42578125" customWidth="1"/>
    <col min="2" max="15" width="10.5703125" customWidth="1"/>
    <col min="16" max="17" width="12.7109375" customWidth="1"/>
    <col min="18" max="30" width="10.5703125" customWidth="1"/>
  </cols>
  <sheetData>
    <row r="3" spans="1:17" x14ac:dyDescent="0.25">
      <c r="A3" s="1" t="s">
        <v>1</v>
      </c>
      <c r="B3" s="1" t="s">
        <v>2</v>
      </c>
      <c r="D3" s="1" t="s">
        <v>4</v>
      </c>
      <c r="E3" s="1" t="s">
        <v>26</v>
      </c>
      <c r="F3" s="1" t="s">
        <v>5</v>
      </c>
      <c r="G3" s="1" t="s">
        <v>7</v>
      </c>
      <c r="H3" s="1" t="s">
        <v>11</v>
      </c>
      <c r="I3" s="1" t="s">
        <v>18</v>
      </c>
      <c r="J3" s="1" t="s">
        <v>19</v>
      </c>
      <c r="K3" s="1" t="s">
        <v>3</v>
      </c>
      <c r="L3" s="1" t="s">
        <v>8</v>
      </c>
      <c r="M3" s="1" t="s">
        <v>13</v>
      </c>
      <c r="O3" s="1" t="s">
        <v>27</v>
      </c>
      <c r="P3" s="1" t="s">
        <v>28</v>
      </c>
      <c r="Q3" s="1" t="s">
        <v>13</v>
      </c>
    </row>
    <row r="4" spans="1:17" x14ac:dyDescent="0.25">
      <c r="A4" s="1">
        <v>832500</v>
      </c>
      <c r="B4" s="1">
        <v>0.5</v>
      </c>
      <c r="D4" s="1">
        <v>8</v>
      </c>
      <c r="E4" s="1">
        <v>0</v>
      </c>
      <c r="F4" s="1">
        <f>2*1825*E4</f>
        <v>0</v>
      </c>
      <c r="G4" s="10">
        <v>0</v>
      </c>
      <c r="H4" s="1">
        <f t="shared" ref="H4:H24" si="0">(F4*G4)/$A$4</f>
        <v>0</v>
      </c>
      <c r="I4" s="1">
        <f t="shared" ref="I4:I24" si="1">H4*1000</f>
        <v>0</v>
      </c>
      <c r="J4" s="1">
        <f>I4*B4</f>
        <v>0</v>
      </c>
      <c r="K4" s="1">
        <f>2*217.575</f>
        <v>435.15</v>
      </c>
      <c r="L4" s="1">
        <v>0</v>
      </c>
      <c r="M4" s="1">
        <f t="shared" ref="M4:M24" si="2">(G4*F4*0.5*3.207)/(1000000)</f>
        <v>0</v>
      </c>
      <c r="O4" s="1">
        <v>0</v>
      </c>
      <c r="P4" s="1">
        <v>0</v>
      </c>
      <c r="Q4" s="1">
        <v>0</v>
      </c>
    </row>
    <row r="5" spans="1:17" x14ac:dyDescent="0.25">
      <c r="D5" s="1">
        <v>8.5</v>
      </c>
      <c r="E5" s="1">
        <v>0.1</v>
      </c>
      <c r="F5" s="1">
        <f t="shared" ref="F5:F24" si="3">2*1825*E5</f>
        <v>365</v>
      </c>
      <c r="G5" s="1">
        <f>2*311.1</f>
        <v>622.20000000000005</v>
      </c>
      <c r="H5" s="1">
        <f>(F5*G5)/$A$4</f>
        <v>0.27279639639639641</v>
      </c>
      <c r="I5" s="1">
        <f>H5*1000</f>
        <v>272.7963963963964</v>
      </c>
      <c r="J5" s="1">
        <f t="shared" ref="J5:J24" si="4">I5*$B$4+J4</f>
        <v>136.3981981981982</v>
      </c>
      <c r="L5" s="1">
        <f t="shared" ref="L5:L12" si="5">100*$K$4/G5</f>
        <v>69.937319189971063</v>
      </c>
      <c r="M5" s="1">
        <f>(G5*F5*0.5*3.207)/(1000000)</f>
        <v>0.36415966050000004</v>
      </c>
      <c r="O5" s="1">
        <v>160</v>
      </c>
      <c r="P5" s="1">
        <f>I12+I16</f>
        <v>293.75375375375376</v>
      </c>
      <c r="Q5" s="1">
        <f>M12+M16</f>
        <v>0.392135925</v>
      </c>
    </row>
    <row r="6" spans="1:17" x14ac:dyDescent="0.25">
      <c r="D6" s="1">
        <v>9</v>
      </c>
      <c r="E6" s="1">
        <v>0.25</v>
      </c>
      <c r="F6" s="1">
        <f t="shared" si="3"/>
        <v>912.5</v>
      </c>
      <c r="G6" s="1">
        <f>2*261.7</f>
        <v>523.4</v>
      </c>
      <c r="H6" s="1">
        <f t="shared" si="0"/>
        <v>0.57369669669669665</v>
      </c>
      <c r="I6" s="1">
        <f t="shared" si="1"/>
        <v>573.69669669669668</v>
      </c>
      <c r="J6" s="1">
        <f t="shared" si="4"/>
        <v>423.24654654654654</v>
      </c>
      <c r="L6" s="1">
        <f t="shared" si="5"/>
        <v>83.139090561711882</v>
      </c>
      <c r="M6" s="1">
        <f>(G6*F6*0.5*3.207)/(1000000)</f>
        <v>0.76583560875000001</v>
      </c>
      <c r="O6" s="1">
        <v>320</v>
      </c>
      <c r="P6" s="1">
        <f>I5+0</f>
        <v>272.7963963963964</v>
      </c>
      <c r="Q6" s="1">
        <f>M5+0</f>
        <v>0.36415966050000004</v>
      </c>
    </row>
    <row r="7" spans="1:17" x14ac:dyDescent="0.25">
      <c r="D7" s="1">
        <v>9.5</v>
      </c>
      <c r="E7" s="1">
        <v>0.4</v>
      </c>
      <c r="F7" s="1">
        <f t="shared" si="3"/>
        <v>1460</v>
      </c>
      <c r="G7" s="1">
        <f>2*235.3</f>
        <v>470.6</v>
      </c>
      <c r="H7" s="1">
        <f t="shared" si="0"/>
        <v>0.8253165165165165</v>
      </c>
      <c r="I7" s="1">
        <f t="shared" si="1"/>
        <v>825.31651651651646</v>
      </c>
      <c r="J7" s="1">
        <f t="shared" si="4"/>
        <v>835.90480480480483</v>
      </c>
      <c r="L7" s="1">
        <f t="shared" si="5"/>
        <v>92.467063323416909</v>
      </c>
      <c r="M7" s="1">
        <f t="shared" si="2"/>
        <v>1.1017263659999998</v>
      </c>
      <c r="O7" s="1">
        <v>480</v>
      </c>
      <c r="P7" s="1">
        <f>I11+I17</f>
        <v>765.77657657657664</v>
      </c>
      <c r="Q7" s="1">
        <f>M11+M17</f>
        <v>1.0222456815000001</v>
      </c>
    </row>
    <row r="8" spans="1:17" x14ac:dyDescent="0.25">
      <c r="D8" s="1">
        <v>10</v>
      </c>
      <c r="E8" s="1">
        <v>0.95</v>
      </c>
      <c r="F8" s="1">
        <f t="shared" si="3"/>
        <v>3467.5</v>
      </c>
      <c r="G8" s="1">
        <v>436.2</v>
      </c>
      <c r="H8" s="1">
        <f t="shared" si="0"/>
        <v>1.8168450450450451</v>
      </c>
      <c r="I8" s="1">
        <f t="shared" si="1"/>
        <v>1816.845045045045</v>
      </c>
      <c r="J8" s="1">
        <f t="shared" si="4"/>
        <v>1744.3273273273273</v>
      </c>
      <c r="L8" s="1">
        <f t="shared" si="5"/>
        <v>99.759284731774414</v>
      </c>
      <c r="M8" s="1">
        <f t="shared" si="2"/>
        <v>2.4253314322500001</v>
      </c>
      <c r="O8" s="1">
        <v>800</v>
      </c>
      <c r="P8" s="1">
        <f>I6+I18</f>
        <v>1147.3933933933934</v>
      </c>
      <c r="Q8" s="1">
        <f>M6+M18</f>
        <v>1.5316712175</v>
      </c>
    </row>
    <row r="9" spans="1:17" x14ac:dyDescent="0.25">
      <c r="D9" s="1">
        <v>10.5</v>
      </c>
      <c r="E9" s="1">
        <v>0.75</v>
      </c>
      <c r="F9" s="1">
        <f t="shared" si="3"/>
        <v>2737.5</v>
      </c>
      <c r="G9" s="1">
        <f>2*218.1</f>
        <v>436.2</v>
      </c>
      <c r="H9" s="1">
        <f t="shared" si="0"/>
        <v>1.4343513513513513</v>
      </c>
      <c r="I9" s="1">
        <f t="shared" si="1"/>
        <v>1434.3513513513512</v>
      </c>
      <c r="J9" s="1">
        <f t="shared" si="4"/>
        <v>2461.503003003003</v>
      </c>
      <c r="L9" s="1">
        <f t="shared" si="5"/>
        <v>99.759284731774414</v>
      </c>
      <c r="M9" s="1">
        <f t="shared" si="2"/>
        <v>1.9147353412499999</v>
      </c>
      <c r="O9" s="1">
        <v>960</v>
      </c>
      <c r="P9" s="1">
        <f>I23</f>
        <v>659.23603603603613</v>
      </c>
      <c r="Q9" s="1">
        <f>M23</f>
        <v>0.88002324899999995</v>
      </c>
    </row>
    <row r="10" spans="1:17" x14ac:dyDescent="0.25">
      <c r="D10" s="2">
        <v>11</v>
      </c>
      <c r="E10" s="1">
        <v>0.35</v>
      </c>
      <c r="F10" s="1">
        <f t="shared" si="3"/>
        <v>1277.5</v>
      </c>
      <c r="G10" s="1">
        <v>484</v>
      </c>
      <c r="H10" s="1">
        <f t="shared" si="0"/>
        <v>0.74271471471471473</v>
      </c>
      <c r="I10" s="1">
        <f t="shared" si="1"/>
        <v>742.71471471471477</v>
      </c>
      <c r="J10" s="1">
        <f t="shared" si="4"/>
        <v>2832.8603603603606</v>
      </c>
      <c r="L10" s="1">
        <f t="shared" si="5"/>
        <v>89.90702479338843</v>
      </c>
      <c r="M10" s="1">
        <f t="shared" si="2"/>
        <v>0.99146008499999994</v>
      </c>
      <c r="O10" s="1">
        <v>1120</v>
      </c>
      <c r="P10" s="1">
        <f>I10+I19</f>
        <v>1485.4294294294295</v>
      </c>
      <c r="Q10" s="1">
        <f>M10+M19</f>
        <v>1.9829201699999999</v>
      </c>
    </row>
    <row r="11" spans="1:17" x14ac:dyDescent="0.25">
      <c r="D11" s="4">
        <v>11.5</v>
      </c>
      <c r="E11" s="1">
        <v>0.15</v>
      </c>
      <c r="F11" s="1">
        <f t="shared" si="3"/>
        <v>547.5</v>
      </c>
      <c r="G11" s="1">
        <v>582.20000000000005</v>
      </c>
      <c r="H11" s="1">
        <f t="shared" si="0"/>
        <v>0.3828882882882883</v>
      </c>
      <c r="I11" s="1">
        <f t="shared" si="1"/>
        <v>382.88828828828832</v>
      </c>
      <c r="J11" s="1">
        <f t="shared" si="4"/>
        <v>3024.3045045045046</v>
      </c>
      <c r="L11" s="1">
        <f t="shared" si="5"/>
        <v>74.742356578495361</v>
      </c>
      <c r="M11" s="1">
        <f t="shared" si="2"/>
        <v>0.51112284075000003</v>
      </c>
      <c r="O11" s="1">
        <v>1280</v>
      </c>
      <c r="P11" s="1">
        <f>I7+0</f>
        <v>825.31651651651646</v>
      </c>
      <c r="Q11" s="1">
        <f>M7+0</f>
        <v>1.1017263659999998</v>
      </c>
    </row>
    <row r="12" spans="1:17" x14ac:dyDescent="0.25">
      <c r="D12" s="2">
        <v>12</v>
      </c>
      <c r="E12" s="1">
        <v>0.05</v>
      </c>
      <c r="F12" s="1">
        <f t="shared" si="3"/>
        <v>182.5</v>
      </c>
      <c r="G12" s="1">
        <v>670</v>
      </c>
      <c r="H12" s="1">
        <f t="shared" si="0"/>
        <v>0.14687687687687687</v>
      </c>
      <c r="I12" s="1">
        <f t="shared" si="1"/>
        <v>146.87687687687688</v>
      </c>
      <c r="J12" s="1">
        <f t="shared" si="4"/>
        <v>3097.742942942943</v>
      </c>
      <c r="L12" s="1">
        <f t="shared" si="5"/>
        <v>64.947761194029852</v>
      </c>
      <c r="M12" s="1">
        <f t="shared" si="2"/>
        <v>0.1960679625</v>
      </c>
      <c r="O12" s="1">
        <v>1440</v>
      </c>
      <c r="P12" s="1">
        <f>I22</f>
        <v>908.35675675675679</v>
      </c>
      <c r="Q12" s="1">
        <f>M22</f>
        <v>1.2125779244999999</v>
      </c>
    </row>
    <row r="13" spans="1:17" x14ac:dyDescent="0.25">
      <c r="D13" s="4">
        <v>12.5</v>
      </c>
      <c r="E13" s="1">
        <v>0</v>
      </c>
      <c r="F13" s="1">
        <f t="shared" si="3"/>
        <v>0</v>
      </c>
      <c r="G13" s="1">
        <v>0</v>
      </c>
      <c r="H13" s="1">
        <f t="shared" si="0"/>
        <v>0</v>
      </c>
      <c r="I13" s="1">
        <f t="shared" si="1"/>
        <v>0</v>
      </c>
      <c r="J13" s="1">
        <f t="shared" si="4"/>
        <v>3097.742942942943</v>
      </c>
      <c r="L13" s="1">
        <v>0</v>
      </c>
      <c r="M13" s="1">
        <f t="shared" si="2"/>
        <v>0</v>
      </c>
      <c r="O13" s="1">
        <v>2240</v>
      </c>
      <c r="P13" s="1">
        <f>I21</f>
        <v>1343.0246246246247</v>
      </c>
      <c r="Q13" s="1">
        <f>M21+0</f>
        <v>1.792822038</v>
      </c>
    </row>
    <row r="14" spans="1:17" x14ac:dyDescent="0.25">
      <c r="D14" s="2">
        <v>13</v>
      </c>
      <c r="E14" s="1">
        <v>0</v>
      </c>
      <c r="F14" s="1">
        <f t="shared" si="3"/>
        <v>0</v>
      </c>
      <c r="G14" s="1">
        <v>0</v>
      </c>
      <c r="H14" s="1">
        <f t="shared" si="0"/>
        <v>0</v>
      </c>
      <c r="I14" s="1">
        <f t="shared" si="1"/>
        <v>0</v>
      </c>
      <c r="J14" s="1">
        <f t="shared" si="4"/>
        <v>3097.742942942943</v>
      </c>
      <c r="L14" s="1">
        <v>0</v>
      </c>
      <c r="M14" s="1">
        <f t="shared" si="2"/>
        <v>0</v>
      </c>
      <c r="O14" s="1">
        <v>2400</v>
      </c>
      <c r="P14" s="1">
        <f>I9</f>
        <v>1434.3513513513512</v>
      </c>
      <c r="Q14" s="1">
        <f>M9</f>
        <v>1.9147353412499999</v>
      </c>
    </row>
    <row r="15" spans="1:17" x14ac:dyDescent="0.25">
      <c r="D15" s="4">
        <v>13.5</v>
      </c>
      <c r="E15" s="1">
        <v>0</v>
      </c>
      <c r="F15" s="1">
        <f t="shared" si="3"/>
        <v>0</v>
      </c>
      <c r="G15" s="1">
        <v>0</v>
      </c>
      <c r="H15" s="1">
        <f t="shared" si="0"/>
        <v>0</v>
      </c>
      <c r="I15" s="1">
        <f t="shared" si="1"/>
        <v>0</v>
      </c>
      <c r="J15" s="1">
        <f t="shared" si="4"/>
        <v>3097.742942942943</v>
      </c>
      <c r="L15" s="1">
        <v>0</v>
      </c>
      <c r="M15" s="1">
        <f t="shared" si="2"/>
        <v>0</v>
      </c>
      <c r="O15" s="1">
        <v>3040</v>
      </c>
      <c r="P15" s="1">
        <f>I8+I20</f>
        <v>3633.6900900900901</v>
      </c>
      <c r="Q15" s="1">
        <f>M8+M20</f>
        <v>4.8506628645000003</v>
      </c>
    </row>
    <row r="16" spans="1:17" x14ac:dyDescent="0.25">
      <c r="D16" s="2">
        <v>13.995357142857101</v>
      </c>
      <c r="E16" s="1">
        <v>0.05</v>
      </c>
      <c r="F16" s="1">
        <f t="shared" si="3"/>
        <v>182.5</v>
      </c>
      <c r="G16" s="1">
        <v>670</v>
      </c>
      <c r="H16" s="1">
        <f t="shared" si="0"/>
        <v>0.14687687687687687</v>
      </c>
      <c r="I16" s="1">
        <f t="shared" si="1"/>
        <v>146.87687687687688</v>
      </c>
      <c r="J16" s="1">
        <f t="shared" si="4"/>
        <v>3171.1813813813815</v>
      </c>
      <c r="L16" s="1">
        <f t="shared" ref="L16:L23" si="6">100*$K$4/G16</f>
        <v>64.947761194029852</v>
      </c>
      <c r="M16" s="1">
        <f t="shared" si="2"/>
        <v>0.1960679625</v>
      </c>
      <c r="P16" s="5">
        <f t="shared" ref="P16:Q16" si="7">SUM(P4:P15)</f>
        <v>12769.124924924927</v>
      </c>
      <c r="Q16" s="5">
        <f t="shared" si="7"/>
        <v>17.045680437750001</v>
      </c>
    </row>
    <row r="17" spans="4:17" x14ac:dyDescent="0.25">
      <c r="D17" s="4">
        <v>14.5</v>
      </c>
      <c r="E17" s="1">
        <v>0.15</v>
      </c>
      <c r="F17" s="1">
        <f t="shared" si="3"/>
        <v>547.5</v>
      </c>
      <c r="G17" s="1">
        <v>582.20000000000005</v>
      </c>
      <c r="H17" s="1">
        <f t="shared" si="0"/>
        <v>0.3828882882882883</v>
      </c>
      <c r="I17" s="1">
        <f t="shared" si="1"/>
        <v>382.88828828828832</v>
      </c>
      <c r="J17" s="1">
        <f t="shared" si="4"/>
        <v>3362.6255255255255</v>
      </c>
      <c r="L17" s="1">
        <f t="shared" si="6"/>
        <v>74.742356578495361</v>
      </c>
      <c r="M17" s="1">
        <f t="shared" si="2"/>
        <v>0.51112284075000003</v>
      </c>
    </row>
    <row r="18" spans="4:17" x14ac:dyDescent="0.25">
      <c r="D18" s="2">
        <v>14.994999999999999</v>
      </c>
      <c r="E18" s="1">
        <v>0.25</v>
      </c>
      <c r="F18" s="1">
        <f t="shared" si="3"/>
        <v>912.5</v>
      </c>
      <c r="G18" s="1">
        <f>2*261.7</f>
        <v>523.4</v>
      </c>
      <c r="H18" s="1">
        <f t="shared" si="0"/>
        <v>0.57369669669669665</v>
      </c>
      <c r="I18" s="1">
        <f t="shared" si="1"/>
        <v>573.69669669669668</v>
      </c>
      <c r="J18" s="1">
        <f t="shared" si="4"/>
        <v>3649.4738738738738</v>
      </c>
      <c r="L18" s="1">
        <f t="shared" si="6"/>
        <v>83.139090561711882</v>
      </c>
      <c r="M18" s="1">
        <f t="shared" si="2"/>
        <v>0.76583560875000001</v>
      </c>
      <c r="O18" s="1" t="s">
        <v>29</v>
      </c>
      <c r="P18" s="1" t="s">
        <v>28</v>
      </c>
      <c r="Q18" s="1" t="s">
        <v>13</v>
      </c>
    </row>
    <row r="19" spans="4:17" x14ac:dyDescent="0.25">
      <c r="D19" s="4">
        <v>15.5</v>
      </c>
      <c r="E19" s="1">
        <v>0.35</v>
      </c>
      <c r="F19" s="1">
        <f t="shared" si="3"/>
        <v>1277.5</v>
      </c>
      <c r="G19" s="1">
        <v>484</v>
      </c>
      <c r="H19" s="1">
        <f t="shared" si="0"/>
        <v>0.74271471471471473</v>
      </c>
      <c r="I19" s="1">
        <f t="shared" si="1"/>
        <v>742.71471471471477</v>
      </c>
      <c r="J19" s="1">
        <f t="shared" si="4"/>
        <v>4020.831231231231</v>
      </c>
      <c r="L19" s="1">
        <f t="shared" si="6"/>
        <v>89.90702479338843</v>
      </c>
      <c r="M19" s="1">
        <f t="shared" si="2"/>
        <v>0.99146008499999994</v>
      </c>
      <c r="O19" s="1" t="s">
        <v>23</v>
      </c>
      <c r="P19" s="1">
        <f t="shared" ref="P19:Q19" si="8">SUM(P4:P9)</f>
        <v>3138.9561561561563</v>
      </c>
      <c r="Q19" s="1">
        <f t="shared" si="8"/>
        <v>4.1902357334999998</v>
      </c>
    </row>
    <row r="20" spans="4:17" x14ac:dyDescent="0.25">
      <c r="D20" s="2">
        <v>15.9946428571428</v>
      </c>
      <c r="E20" s="1">
        <v>0.95</v>
      </c>
      <c r="F20" s="1">
        <f t="shared" si="3"/>
        <v>3467.5</v>
      </c>
      <c r="G20" s="1">
        <v>436.2</v>
      </c>
      <c r="H20" s="1">
        <f t="shared" si="0"/>
        <v>1.8168450450450451</v>
      </c>
      <c r="I20" s="1">
        <f t="shared" si="1"/>
        <v>1816.845045045045</v>
      </c>
      <c r="J20" s="1">
        <f t="shared" si="4"/>
        <v>4929.2537537537537</v>
      </c>
      <c r="L20" s="1">
        <f t="shared" si="6"/>
        <v>99.759284731774414</v>
      </c>
      <c r="M20" s="1">
        <f t="shared" si="2"/>
        <v>2.4253314322500001</v>
      </c>
      <c r="O20" s="1" t="s">
        <v>24</v>
      </c>
      <c r="P20" s="1">
        <f t="shared" ref="P20:Q20" si="9">SUM(P10:P13)</f>
        <v>4562.1273273273273</v>
      </c>
      <c r="Q20" s="1">
        <f t="shared" si="9"/>
        <v>6.0900464984999996</v>
      </c>
    </row>
    <row r="21" spans="4:17" ht="15.75" customHeight="1" x14ac:dyDescent="0.25">
      <c r="D21" s="4">
        <v>16.5</v>
      </c>
      <c r="E21" s="1">
        <v>0.7</v>
      </c>
      <c r="F21" s="1">
        <f t="shared" si="3"/>
        <v>2555</v>
      </c>
      <c r="G21" s="1">
        <f>2*218.8</f>
        <v>437.6</v>
      </c>
      <c r="H21" s="1">
        <f t="shared" si="0"/>
        <v>1.3430246246246247</v>
      </c>
      <c r="I21" s="1">
        <f t="shared" si="1"/>
        <v>1343.0246246246247</v>
      </c>
      <c r="J21" s="1">
        <f t="shared" si="4"/>
        <v>5600.7660660660658</v>
      </c>
      <c r="L21" s="1">
        <f t="shared" si="6"/>
        <v>99.440127970749543</v>
      </c>
      <c r="M21" s="1">
        <f t="shared" si="2"/>
        <v>1.792822038</v>
      </c>
      <c r="O21" s="1" t="s">
        <v>25</v>
      </c>
      <c r="P21" s="1">
        <f t="shared" ref="P21:Q21" si="10">SUM(P14:P15)</f>
        <v>5068.0414414414408</v>
      </c>
      <c r="Q21" s="1">
        <f t="shared" si="10"/>
        <v>6.7653982057500004</v>
      </c>
    </row>
    <row r="22" spans="4:17" ht="15.75" customHeight="1" x14ac:dyDescent="0.25">
      <c r="D22" s="2">
        <v>16.994285714285699</v>
      </c>
      <c r="E22" s="1">
        <v>0.45</v>
      </c>
      <c r="F22" s="1">
        <f t="shared" si="3"/>
        <v>1642.5</v>
      </c>
      <c r="G22" s="1">
        <f>2*230.2</f>
        <v>460.4</v>
      </c>
      <c r="H22" s="1">
        <f t="shared" si="0"/>
        <v>0.90835675675675676</v>
      </c>
      <c r="I22" s="1">
        <f t="shared" si="1"/>
        <v>908.35675675675679</v>
      </c>
      <c r="J22" s="1">
        <f t="shared" si="4"/>
        <v>6054.9444444444443</v>
      </c>
      <c r="L22" s="1">
        <f t="shared" si="6"/>
        <v>94.515638575152053</v>
      </c>
      <c r="M22" s="1">
        <f t="shared" si="2"/>
        <v>1.2125779244999999</v>
      </c>
      <c r="P22" s="5">
        <f t="shared" ref="P22:Q22" si="11">SUM(P19:P21)</f>
        <v>12769.124924924925</v>
      </c>
      <c r="Q22" s="5">
        <f t="shared" si="11"/>
        <v>17.045680437750001</v>
      </c>
    </row>
    <row r="23" spans="4:17" ht="15.75" customHeight="1" x14ac:dyDescent="0.25">
      <c r="D23" s="4">
        <v>17.5</v>
      </c>
      <c r="E23" s="1">
        <v>0.3</v>
      </c>
      <c r="F23" s="1">
        <f t="shared" si="3"/>
        <v>1095</v>
      </c>
      <c r="G23" s="1">
        <f>2*250.6</f>
        <v>501.2</v>
      </c>
      <c r="H23" s="1">
        <f t="shared" si="0"/>
        <v>0.65923603603603609</v>
      </c>
      <c r="I23" s="1">
        <f t="shared" si="1"/>
        <v>659.23603603603613</v>
      </c>
      <c r="J23" s="1">
        <f t="shared" si="4"/>
        <v>6384.5624624624625</v>
      </c>
      <c r="L23" s="1">
        <f t="shared" si="6"/>
        <v>86.821628092577811</v>
      </c>
      <c r="M23" s="1">
        <f t="shared" si="2"/>
        <v>0.88002324899999995</v>
      </c>
    </row>
    <row r="24" spans="4:17" ht="15.75" customHeight="1" x14ac:dyDescent="0.25">
      <c r="D24" s="2">
        <v>17.993928571428601</v>
      </c>
      <c r="E24" s="1">
        <v>0</v>
      </c>
      <c r="F24" s="1">
        <f t="shared" si="3"/>
        <v>0</v>
      </c>
      <c r="G24" s="1">
        <v>0</v>
      </c>
      <c r="H24" s="1">
        <f t="shared" si="0"/>
        <v>0</v>
      </c>
      <c r="I24" s="1">
        <f t="shared" si="1"/>
        <v>0</v>
      </c>
      <c r="J24" s="5">
        <f t="shared" si="4"/>
        <v>6384.5624624624625</v>
      </c>
      <c r="L24" s="1">
        <v>0</v>
      </c>
      <c r="M24" s="1">
        <f t="shared" si="2"/>
        <v>0</v>
      </c>
      <c r="O24" s="1" t="s">
        <v>29</v>
      </c>
      <c r="P24" s="1" t="s">
        <v>28</v>
      </c>
      <c r="Q24" s="1" t="s">
        <v>13</v>
      </c>
    </row>
    <row r="25" spans="4:17" ht="15.75" customHeight="1" x14ac:dyDescent="0.25">
      <c r="I25" s="5">
        <f>SUM(I4:I24)</f>
        <v>12769.124924924925</v>
      </c>
      <c r="M25" s="5">
        <f>SUM(M4:M24)</f>
        <v>17.045680437750004</v>
      </c>
      <c r="O25" s="1" t="s">
        <v>23</v>
      </c>
      <c r="P25" s="1">
        <f t="shared" ref="P25:P27" si="12">P19/$P$22</f>
        <v>0.24582390528806042</v>
      </c>
      <c r="Q25" s="1">
        <f t="shared" ref="Q25:Q27" si="13">Q19/$Q$22</f>
        <v>0.24582390528806039</v>
      </c>
    </row>
    <row r="26" spans="4:17" ht="15.75" customHeight="1" x14ac:dyDescent="0.25">
      <c r="O26" s="1" t="s">
        <v>24</v>
      </c>
      <c r="P26" s="1">
        <f t="shared" si="12"/>
        <v>0.35727799313970215</v>
      </c>
      <c r="Q26" s="1">
        <f t="shared" si="13"/>
        <v>0.35727799313970215</v>
      </c>
    </row>
    <row r="27" spans="4:17" ht="15.75" customHeight="1" x14ac:dyDescent="0.25">
      <c r="O27" s="1" t="s">
        <v>25</v>
      </c>
      <c r="P27" s="1">
        <f t="shared" si="12"/>
        <v>0.39689810157223737</v>
      </c>
      <c r="Q27" s="1">
        <f t="shared" si="13"/>
        <v>0.39689810157223743</v>
      </c>
    </row>
    <row r="28" spans="4:17" ht="15.75" customHeight="1" x14ac:dyDescent="0.25">
      <c r="P28" s="5">
        <f t="shared" ref="P28:Q28" si="14">SUM(P25:P27)</f>
        <v>0.99999999999999989</v>
      </c>
      <c r="Q28" s="5">
        <f t="shared" si="14"/>
        <v>1</v>
      </c>
    </row>
    <row r="29" spans="4:17" ht="15.75" customHeight="1" x14ac:dyDescent="0.25"/>
    <row r="30" spans="4:17" ht="15.75" customHeight="1" x14ac:dyDescent="0.25">
      <c r="O30" s="1" t="s">
        <v>29</v>
      </c>
      <c r="P30" s="1" t="s">
        <v>28</v>
      </c>
      <c r="Q30" s="1" t="s">
        <v>30</v>
      </c>
    </row>
    <row r="31" spans="4:17" ht="15.75" customHeight="1" x14ac:dyDescent="0.25">
      <c r="O31" s="1" t="s">
        <v>23</v>
      </c>
      <c r="P31" s="2">
        <f>(I5+I6+I11+I12+I16+I17+I18+I23)*0.5</f>
        <v>1569.4780780780782</v>
      </c>
      <c r="Q31" s="3">
        <f t="shared" ref="Q31:Q33" si="15">P31/$P$34</f>
        <v>0.24582390528806042</v>
      </c>
    </row>
    <row r="32" spans="4:17" ht="15.75" customHeight="1" x14ac:dyDescent="0.25">
      <c r="O32" s="1" t="s">
        <v>24</v>
      </c>
      <c r="P32" s="2">
        <f>(I7+I10+I19+I21+I22)*0.5</f>
        <v>2281.0636636636636</v>
      </c>
      <c r="Q32" s="3">
        <f t="shared" si="15"/>
        <v>0.35727799313970215</v>
      </c>
    </row>
    <row r="33" spans="15:17" ht="15.75" customHeight="1" x14ac:dyDescent="0.25">
      <c r="O33" s="1" t="s">
        <v>25</v>
      </c>
      <c r="P33" s="2">
        <f>(I8+I9+I20)*0.5</f>
        <v>2534.0207207207204</v>
      </c>
      <c r="Q33" s="3">
        <f t="shared" si="15"/>
        <v>0.39689810157223737</v>
      </c>
    </row>
    <row r="34" spans="15:17" ht="15.75" customHeight="1" x14ac:dyDescent="0.25">
      <c r="P34" s="6">
        <f t="shared" ref="P34:Q34" si="16">SUM(P31:P33)</f>
        <v>6384.5624624624625</v>
      </c>
      <c r="Q34" s="7">
        <f t="shared" si="16"/>
        <v>0.99999999999999989</v>
      </c>
    </row>
    <row r="35" spans="15:17" ht="15.75" customHeight="1" x14ac:dyDescent="0.25"/>
    <row r="36" spans="15:17" ht="15.75" customHeight="1" x14ac:dyDescent="0.25"/>
    <row r="37" spans="15:17" ht="15.75" customHeight="1" x14ac:dyDescent="0.25"/>
    <row r="38" spans="15:17" ht="15.75" customHeight="1" x14ac:dyDescent="0.25"/>
    <row r="39" spans="15:17" ht="15.75" customHeight="1" x14ac:dyDescent="0.25"/>
    <row r="40" spans="15:17" ht="15.75" customHeight="1" x14ac:dyDescent="0.25"/>
    <row r="41" spans="15:17" ht="15.75" customHeight="1" x14ac:dyDescent="0.25"/>
    <row r="42" spans="15:17" ht="15.75" customHeight="1" x14ac:dyDescent="0.25"/>
    <row r="43" spans="15:17" ht="15.75" customHeight="1" x14ac:dyDescent="0.25"/>
    <row r="44" spans="15:17" ht="15.75" customHeight="1" x14ac:dyDescent="0.25"/>
    <row r="45" spans="15:17" ht="15.75" customHeight="1" x14ac:dyDescent="0.25"/>
    <row r="46" spans="15:17" ht="15.75" customHeight="1" x14ac:dyDescent="0.25"/>
    <row r="47" spans="15:17" ht="15.75" customHeight="1" x14ac:dyDescent="0.25"/>
    <row r="48" spans="15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30 min_1m</vt:lpstr>
      <vt:lpstr>30 min_2m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</cp:lastModifiedBy>
  <dcterms:created xsi:type="dcterms:W3CDTF">2024-09-11T14:35:20Z</dcterms:created>
  <dcterms:modified xsi:type="dcterms:W3CDTF">2025-11-25T20:06:09Z</dcterms:modified>
</cp:coreProperties>
</file>