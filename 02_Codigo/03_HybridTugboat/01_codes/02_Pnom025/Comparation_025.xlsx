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ar\Documents\Tesis Magister\Tesis_Msc_LSZ\02_Codigo\03_HybridTugboat\01_codes\02_Pnom025\"/>
    </mc:Choice>
  </mc:AlternateContent>
  <xr:revisionPtr revIDLastSave="0" documentId="13_ncr:1_{D8D6C6CD-525D-4740-9BF9-661E4A08B572}" xr6:coauthVersionLast="47" xr6:coauthVersionMax="47" xr10:uidLastSave="{00000000-0000-0000-0000-000000000000}"/>
  <bookViews>
    <workbookView xWindow="-28920" yWindow="-11610" windowWidth="29040" windowHeight="15840" xr2:uid="{CC8E70EA-9981-4FE1-9A98-EC6DB5F1210E}"/>
  </bookViews>
  <sheets>
    <sheet name="1_Maneuver" sheetId="1" r:id="rId1"/>
    <sheet name="2_Maneuv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G23" i="1"/>
  <c r="G21" i="1"/>
  <c r="K4" i="1"/>
  <c r="G21" i="2"/>
  <c r="G22" i="2"/>
  <c r="G20" i="2"/>
  <c r="K4" i="2"/>
  <c r="H13" i="1"/>
  <c r="H14" i="1"/>
  <c r="H15" i="1"/>
  <c r="H12" i="1"/>
  <c r="H16" i="1"/>
  <c r="G15" i="1"/>
  <c r="G16" i="1" s="1"/>
  <c r="G13" i="1"/>
  <c r="G14" i="1"/>
  <c r="G12" i="1"/>
  <c r="H8" i="1"/>
  <c r="H7" i="1"/>
  <c r="G8" i="1"/>
  <c r="G7" i="1"/>
  <c r="K17" i="1" s="1"/>
  <c r="H16" i="2"/>
  <c r="H15" i="2"/>
  <c r="G16" i="2"/>
  <c r="G15" i="2"/>
  <c r="G14" i="2"/>
  <c r="H13" i="2"/>
  <c r="H14" i="2"/>
  <c r="G13" i="2"/>
  <c r="H12" i="2"/>
  <c r="G12" i="2"/>
  <c r="H8" i="2"/>
  <c r="G8" i="2"/>
  <c r="H7" i="2"/>
  <c r="G7" i="2"/>
  <c r="K17" i="2" s="1"/>
  <c r="K14" i="2"/>
  <c r="L14" i="2" l="1"/>
  <c r="D14" i="2"/>
  <c r="C14" i="2"/>
  <c r="L13" i="2"/>
  <c r="K13" i="2"/>
  <c r="D13" i="2"/>
  <c r="C13" i="2"/>
  <c r="L12" i="2"/>
  <c r="K12" i="2"/>
  <c r="D12" i="2"/>
  <c r="C12" i="2"/>
  <c r="C15" i="2" s="1"/>
  <c r="L13" i="1"/>
  <c r="L14" i="1"/>
  <c r="L12" i="1"/>
  <c r="L15" i="1" s="1"/>
  <c r="K13" i="1"/>
  <c r="K14" i="1"/>
  <c r="K12" i="1"/>
  <c r="K15" i="1" s="1"/>
  <c r="D15" i="1"/>
  <c r="D13" i="1"/>
  <c r="D14" i="1"/>
  <c r="D12" i="1"/>
  <c r="C15" i="1"/>
  <c r="C13" i="1"/>
  <c r="C14" i="1"/>
  <c r="C12" i="1"/>
  <c r="L15" i="2" l="1"/>
  <c r="K15" i="2"/>
  <c r="D15" i="2"/>
</calcChain>
</file>

<file path=xl/sharedStrings.xml><?xml version="1.0" encoding="utf-8"?>
<sst xmlns="http://schemas.openxmlformats.org/spreadsheetml/2006/main" count="93" uniqueCount="16">
  <si>
    <t>Pot_acc [kW]</t>
  </si>
  <si>
    <t>Fuel [L]</t>
  </si>
  <si>
    <t xml:space="preserve">Emiss </t>
  </si>
  <si>
    <t>0-1000</t>
  </si>
  <si>
    <t>1000-2000</t>
  </si>
  <si>
    <t>2000-3650</t>
  </si>
  <si>
    <t>Conventional Tug</t>
  </si>
  <si>
    <t>Hybrid Tug</t>
  </si>
  <si>
    <t>2000-3620</t>
  </si>
  <si>
    <t>Fuel (%)</t>
  </si>
  <si>
    <t>Emiss (%)</t>
  </si>
  <si>
    <t>Comparation</t>
  </si>
  <si>
    <t>Hyb Improvement</t>
  </si>
  <si>
    <t>Batt</t>
  </si>
  <si>
    <t>Total</t>
  </si>
  <si>
    <t>Total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</si>
</sst>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  <xf numFmtId="0" fontId="0" fillId="0" borderId="0" xfId="0" applyAlignment="1">
      <alignment horizontal="center"/>
    </xf>
    <xf numFmtId="9" fontId="0" fillId="0" borderId="0" xfId="0" applyNumberFormat="1"/>
    <xf numFmtId="164" fontId="2" fillId="0" borderId="0" xfId="0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6E1CB-682A-45B9-8296-40FE06F59BBE}">
  <dimension ref="B2:L25"/>
  <sheetViews>
    <sheetView tabSelected="1" workbookViewId="0">
      <selection activeCell="I24" sqref="I24"/>
    </sheetView>
  </sheetViews>
  <sheetFormatPr baseColWidth="10" defaultRowHeight="14.5" x14ac:dyDescent="0.35"/>
  <cols>
    <col min="6" max="6" width="12.1796875" bestFit="1" customWidth="1"/>
    <col min="7" max="7" width="12.54296875" bestFit="1" customWidth="1"/>
    <col min="8" max="8" width="11.54296875" bestFit="1" customWidth="1"/>
    <col min="10" max="10" width="16.453125" bestFit="1" customWidth="1"/>
  </cols>
  <sheetData>
    <row r="2" spans="2:12" x14ac:dyDescent="0.35">
      <c r="B2" s="5" t="s">
        <v>6</v>
      </c>
      <c r="C2" s="5"/>
      <c r="D2" s="5"/>
      <c r="F2" s="5" t="s">
        <v>7</v>
      </c>
      <c r="G2" s="5"/>
      <c r="H2" s="5"/>
    </row>
    <row r="3" spans="2:12" x14ac:dyDescent="0.35">
      <c r="B3" t="s">
        <v>0</v>
      </c>
      <c r="C3" t="s">
        <v>1</v>
      </c>
      <c r="D3" t="s">
        <v>2</v>
      </c>
      <c r="F3" t="s">
        <v>0</v>
      </c>
      <c r="G3" t="s">
        <v>1</v>
      </c>
      <c r="H3" t="s">
        <v>2</v>
      </c>
    </row>
    <row r="4" spans="2:12" x14ac:dyDescent="0.35">
      <c r="B4" t="s">
        <v>3</v>
      </c>
      <c r="C4" s="1">
        <v>2096.831831831832</v>
      </c>
      <c r="D4" s="1">
        <v>5.5981792875000007</v>
      </c>
      <c r="F4" t="s">
        <v>3</v>
      </c>
      <c r="G4" s="1">
        <v>0</v>
      </c>
      <c r="H4" s="1">
        <v>0</v>
      </c>
      <c r="J4" t="s">
        <v>15</v>
      </c>
      <c r="K4" s="1">
        <f>SUM(G4:G6)</f>
        <v>1928.535921921922</v>
      </c>
    </row>
    <row r="5" spans="2:12" x14ac:dyDescent="0.35">
      <c r="B5" t="s">
        <v>4</v>
      </c>
      <c r="C5" s="1">
        <v>2360.2894894894898</v>
      </c>
      <c r="D5" s="1">
        <v>6.3015657869999995</v>
      </c>
      <c r="F5" t="s">
        <v>4</v>
      </c>
      <c r="G5" s="1">
        <v>1020.1133993993994</v>
      </c>
      <c r="H5" s="1">
        <v>2.7235268068349998</v>
      </c>
    </row>
    <row r="6" spans="2:12" x14ac:dyDescent="0.35">
      <c r="B6" t="s">
        <v>5</v>
      </c>
      <c r="C6" s="1">
        <v>908.42252252252251</v>
      </c>
      <c r="D6" s="1">
        <v>2.4253314322500001</v>
      </c>
      <c r="F6" t="s">
        <v>8</v>
      </c>
      <c r="G6" s="1">
        <v>908.42252252252251</v>
      </c>
      <c r="H6" s="1">
        <v>2.4253314322500001</v>
      </c>
    </row>
    <row r="7" spans="2:12" x14ac:dyDescent="0.35">
      <c r="C7" s="1">
        <v>5365.5438438438441</v>
      </c>
      <c r="D7" s="1">
        <v>14.325076506750001</v>
      </c>
      <c r="F7" t="s">
        <v>13</v>
      </c>
      <c r="G7" s="1">
        <f>C7-SUM(G4:G6)</f>
        <v>3437.0079219219224</v>
      </c>
      <c r="H7" s="1">
        <f>D7-SUM(H4:H6)</f>
        <v>9.1762182676650017</v>
      </c>
    </row>
    <row r="8" spans="2:12" x14ac:dyDescent="0.35">
      <c r="F8" s="3" t="s">
        <v>14</v>
      </c>
      <c r="G8" s="7">
        <f>SUM(G4:G7)</f>
        <v>5365.5438438438441</v>
      </c>
      <c r="H8" s="7">
        <f>SUM(H4:H7)</f>
        <v>14.325076506750001</v>
      </c>
    </row>
    <row r="10" spans="2:12" x14ac:dyDescent="0.35">
      <c r="B10" s="5" t="s">
        <v>6</v>
      </c>
      <c r="C10" s="5"/>
      <c r="D10" s="5"/>
      <c r="F10" s="5" t="s">
        <v>7</v>
      </c>
      <c r="G10" s="5"/>
      <c r="H10" s="5"/>
      <c r="J10" s="5" t="s">
        <v>11</v>
      </c>
      <c r="K10" s="5"/>
      <c r="L10" s="5"/>
    </row>
    <row r="11" spans="2:12" x14ac:dyDescent="0.35">
      <c r="B11" t="s">
        <v>0</v>
      </c>
      <c r="C11" t="s">
        <v>9</v>
      </c>
      <c r="D11" t="s">
        <v>10</v>
      </c>
      <c r="F11" t="s">
        <v>0</v>
      </c>
      <c r="G11" t="s">
        <v>9</v>
      </c>
      <c r="H11" t="s">
        <v>10</v>
      </c>
      <c r="J11" t="s">
        <v>0</v>
      </c>
      <c r="K11" t="s">
        <v>9</v>
      </c>
      <c r="L11" t="s">
        <v>10</v>
      </c>
    </row>
    <row r="12" spans="2:12" x14ac:dyDescent="0.35">
      <c r="B12" t="s">
        <v>3</v>
      </c>
      <c r="C12" s="2">
        <f>C4/$C$7</f>
        <v>0.39079576886462902</v>
      </c>
      <c r="D12" s="2">
        <f>D4/$D$7</f>
        <v>0.39079576886462902</v>
      </c>
      <c r="F12" t="s">
        <v>3</v>
      </c>
      <c r="G12" s="2">
        <f>G4/$G$8</f>
        <v>0</v>
      </c>
      <c r="H12" s="2">
        <f>H4/$H$8</f>
        <v>0</v>
      </c>
      <c r="J12" t="s">
        <v>3</v>
      </c>
      <c r="K12" s="2">
        <f>G4/$C$7</f>
        <v>0</v>
      </c>
      <c r="L12" s="2">
        <f>H4/$D$7</f>
        <v>0</v>
      </c>
    </row>
    <row r="13" spans="2:12" x14ac:dyDescent="0.35">
      <c r="B13" t="s">
        <v>4</v>
      </c>
      <c r="C13" s="2">
        <f>C5/$C$7</f>
        <v>0.43989753102056328</v>
      </c>
      <c r="D13" s="2">
        <f>D5/$D$7</f>
        <v>0.43989753102056317</v>
      </c>
      <c r="F13" t="s">
        <v>4</v>
      </c>
      <c r="G13" s="2">
        <f t="shared" ref="G13:G14" si="0">G5/$G$8</f>
        <v>0.1901230199749139</v>
      </c>
      <c r="H13" s="2">
        <f t="shared" ref="H13:H15" si="1">H5/$H$8</f>
        <v>0.19012301997491388</v>
      </c>
      <c r="J13" t="s">
        <v>4</v>
      </c>
      <c r="K13" s="2">
        <f>G5/$C$7</f>
        <v>0.1901230199749139</v>
      </c>
      <c r="L13" s="2">
        <f>H5/$D$7</f>
        <v>0.19012301997491388</v>
      </c>
    </row>
    <row r="14" spans="2:12" x14ac:dyDescent="0.35">
      <c r="B14" t="s">
        <v>5</v>
      </c>
      <c r="C14" s="2">
        <f>C6/$C$7</f>
        <v>0.16930670011480775</v>
      </c>
      <c r="D14" s="2">
        <f>D6/$D$7</f>
        <v>0.16930670011480775</v>
      </c>
      <c r="F14" t="s">
        <v>8</v>
      </c>
      <c r="G14" s="2">
        <f t="shared" si="0"/>
        <v>0.16930670011480775</v>
      </c>
      <c r="H14" s="2">
        <f t="shared" si="1"/>
        <v>0.16930670011480775</v>
      </c>
      <c r="J14" t="s">
        <v>8</v>
      </c>
      <c r="K14" s="2">
        <f>G6/$C$7</f>
        <v>0.16930670011480775</v>
      </c>
      <c r="L14" s="2">
        <f>H6/$D$7</f>
        <v>0.16930670011480775</v>
      </c>
    </row>
    <row r="15" spans="2:12" x14ac:dyDescent="0.35">
      <c r="C15" s="2">
        <f>SUM(C12:C14)</f>
        <v>1</v>
      </c>
      <c r="D15" s="2">
        <f>SUM(D12:D14)</f>
        <v>0.99999999999999989</v>
      </c>
      <c r="F15" t="s">
        <v>13</v>
      </c>
      <c r="G15" s="2">
        <f>G7/G8</f>
        <v>0.64057027991027837</v>
      </c>
      <c r="H15" s="2">
        <f t="shared" si="1"/>
        <v>0.64057027991027837</v>
      </c>
      <c r="K15" s="2">
        <f>SUM(K12:K14)</f>
        <v>0.35942972008972163</v>
      </c>
      <c r="L15" s="2">
        <f>SUM(L12:L14)</f>
        <v>0.35942972008972163</v>
      </c>
    </row>
    <row r="16" spans="2:12" x14ac:dyDescent="0.35">
      <c r="G16" s="6">
        <f>SUM(G12:G15)</f>
        <v>1</v>
      </c>
      <c r="H16" s="6">
        <f>SUM(H12:H15)</f>
        <v>1</v>
      </c>
    </row>
    <row r="17" spans="6:11" x14ac:dyDescent="0.35">
      <c r="J17" s="3" t="s">
        <v>12</v>
      </c>
      <c r="K17" s="4">
        <f>1-G7/C7</f>
        <v>0.35942972008972163</v>
      </c>
    </row>
    <row r="19" spans="6:11" x14ac:dyDescent="0.35">
      <c r="F19" s="5" t="s">
        <v>7</v>
      </c>
      <c r="G19" s="5"/>
      <c r="H19" s="5"/>
    </row>
    <row r="20" spans="6:11" x14ac:dyDescent="0.35">
      <c r="F20" t="s">
        <v>0</v>
      </c>
      <c r="G20" t="s">
        <v>9</v>
      </c>
      <c r="H20" t="s">
        <v>10</v>
      </c>
    </row>
    <row r="21" spans="6:11" x14ac:dyDescent="0.35">
      <c r="F21" t="s">
        <v>3</v>
      </c>
      <c r="G21" s="2">
        <f>G4/$K$4</f>
        <v>0</v>
      </c>
      <c r="H21" s="2"/>
    </row>
    <row r="22" spans="6:11" x14ac:dyDescent="0.35">
      <c r="F22" t="s">
        <v>4</v>
      </c>
      <c r="G22" s="2">
        <f t="shared" ref="G22:G23" si="2">G5/$K$4</f>
        <v>0.52895742713611704</v>
      </c>
      <c r="H22" s="2"/>
    </row>
    <row r="23" spans="6:11" x14ac:dyDescent="0.35">
      <c r="F23" t="s">
        <v>8</v>
      </c>
      <c r="G23" s="2">
        <f t="shared" si="2"/>
        <v>0.4710425728638829</v>
      </c>
      <c r="H23" s="2"/>
    </row>
    <row r="24" spans="6:11" x14ac:dyDescent="0.35">
      <c r="G24" s="2"/>
      <c r="H24" s="2"/>
    </row>
    <row r="25" spans="6:11" x14ac:dyDescent="0.35">
      <c r="G25" s="6"/>
      <c r="H25" s="6"/>
    </row>
  </sheetData>
  <mergeCells count="6">
    <mergeCell ref="F19:H19"/>
    <mergeCell ref="B2:D2"/>
    <mergeCell ref="F2:H2"/>
    <mergeCell ref="B10:D10"/>
    <mergeCell ref="F10:H10"/>
    <mergeCell ref="J10:L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609A2-A501-41D4-9B3C-7FBDBE908257}">
  <dimension ref="B2:L24"/>
  <sheetViews>
    <sheetView workbookViewId="0">
      <selection activeCell="J4" sqref="J4:K4"/>
    </sheetView>
  </sheetViews>
  <sheetFormatPr baseColWidth="10" defaultRowHeight="14.5" x14ac:dyDescent="0.35"/>
  <cols>
    <col min="6" max="6" width="12.1796875" bestFit="1" customWidth="1"/>
    <col min="7" max="7" width="12.54296875" bestFit="1" customWidth="1"/>
    <col min="8" max="8" width="11.54296875" bestFit="1" customWidth="1"/>
    <col min="10" max="10" width="16.453125" bestFit="1" customWidth="1"/>
  </cols>
  <sheetData>
    <row r="2" spans="2:12" x14ac:dyDescent="0.35">
      <c r="B2" s="5" t="s">
        <v>6</v>
      </c>
      <c r="C2" s="5"/>
      <c r="D2" s="5"/>
      <c r="F2" s="5" t="s">
        <v>7</v>
      </c>
      <c r="G2" s="5"/>
      <c r="H2" s="5"/>
    </row>
    <row r="3" spans="2:12" x14ac:dyDescent="0.35">
      <c r="B3" t="s">
        <v>0</v>
      </c>
      <c r="C3" t="s">
        <v>1</v>
      </c>
      <c r="D3" t="s">
        <v>2</v>
      </c>
      <c r="F3" t="s">
        <v>0</v>
      </c>
      <c r="G3" t="s">
        <v>1</v>
      </c>
      <c r="H3" t="s">
        <v>2</v>
      </c>
    </row>
    <row r="4" spans="2:12" x14ac:dyDescent="0.35">
      <c r="B4" t="s">
        <v>3</v>
      </c>
      <c r="C4" s="1">
        <v>1239.8600600600601</v>
      </c>
      <c r="D4" s="1">
        <v>3.3102124845000001</v>
      </c>
      <c r="F4" t="s">
        <v>3</v>
      </c>
      <c r="G4" s="1">
        <v>0</v>
      </c>
      <c r="H4" s="1">
        <v>0</v>
      </c>
      <c r="J4" t="s">
        <v>15</v>
      </c>
      <c r="K4" s="1">
        <f>SUM(G4:G6)</f>
        <v>4029.9572177177174</v>
      </c>
    </row>
    <row r="5" spans="2:12" x14ac:dyDescent="0.35">
      <c r="B5" t="s">
        <v>4</v>
      </c>
      <c r="C5" s="1">
        <v>1939.1693693693696</v>
      </c>
      <c r="D5" s="1">
        <v>5.1772477094999996</v>
      </c>
      <c r="F5" t="s">
        <v>4</v>
      </c>
      <c r="G5" s="1">
        <v>824.42418468468475</v>
      </c>
      <c r="H5" s="1">
        <v>2.2010703599362498</v>
      </c>
    </row>
    <row r="6" spans="2:12" x14ac:dyDescent="0.35">
      <c r="B6" t="s">
        <v>5</v>
      </c>
      <c r="C6" s="1">
        <v>3205.5330330330335</v>
      </c>
      <c r="D6" s="1">
        <v>8.5582202437500001</v>
      </c>
      <c r="F6" t="s">
        <v>8</v>
      </c>
      <c r="G6" s="1">
        <v>3205.5330330330326</v>
      </c>
      <c r="H6" s="1">
        <v>8.5582202437500001</v>
      </c>
    </row>
    <row r="7" spans="2:12" x14ac:dyDescent="0.35">
      <c r="C7" s="1">
        <v>6384.5624624624634</v>
      </c>
      <c r="D7" s="1">
        <v>17.045680437750001</v>
      </c>
      <c r="F7" t="s">
        <v>13</v>
      </c>
      <c r="G7" s="1">
        <f>C7-SUM(G4:G6)</f>
        <v>2354.605244744746</v>
      </c>
      <c r="H7" s="1">
        <f>D7-SUM(H4:H6)</f>
        <v>6.2863898340637512</v>
      </c>
    </row>
    <row r="8" spans="2:12" x14ac:dyDescent="0.35">
      <c r="G8" s="1">
        <f>SUM(G4:G7)</f>
        <v>6384.5624624624634</v>
      </c>
      <c r="H8" s="1">
        <f>SUM(H4:H7)</f>
        <v>17.045680437750001</v>
      </c>
    </row>
    <row r="10" spans="2:12" x14ac:dyDescent="0.35">
      <c r="B10" s="5" t="s">
        <v>6</v>
      </c>
      <c r="C10" s="5"/>
      <c r="D10" s="5"/>
      <c r="F10" s="5" t="s">
        <v>7</v>
      </c>
      <c r="G10" s="5"/>
      <c r="H10" s="5"/>
      <c r="J10" s="5" t="s">
        <v>11</v>
      </c>
      <c r="K10" s="5"/>
      <c r="L10" s="5"/>
    </row>
    <row r="11" spans="2:12" x14ac:dyDescent="0.35">
      <c r="B11" t="s">
        <v>0</v>
      </c>
      <c r="C11" t="s">
        <v>9</v>
      </c>
      <c r="D11" t="s">
        <v>10</v>
      </c>
      <c r="F11" t="s">
        <v>0</v>
      </c>
      <c r="G11" t="s">
        <v>9</v>
      </c>
      <c r="H11" t="s">
        <v>10</v>
      </c>
      <c r="J11" t="s">
        <v>0</v>
      </c>
      <c r="K11" t="s">
        <v>9</v>
      </c>
      <c r="L11" t="s">
        <v>10</v>
      </c>
    </row>
    <row r="12" spans="2:12" x14ac:dyDescent="0.35">
      <c r="B12" t="s">
        <v>3</v>
      </c>
      <c r="C12" s="2">
        <f>C4/$C$7</f>
        <v>0.1941965588636215</v>
      </c>
      <c r="D12" s="2">
        <f>D4/$D$7</f>
        <v>0.19419655886362153</v>
      </c>
      <c r="F12" t="s">
        <v>3</v>
      </c>
      <c r="G12" s="2">
        <f>G4/$G$8</f>
        <v>0</v>
      </c>
      <c r="H12" s="2">
        <f>H4/$H$8</f>
        <v>0</v>
      </c>
      <c r="J12" t="s">
        <v>3</v>
      </c>
      <c r="K12" s="2">
        <f>G4/$C$7</f>
        <v>0</v>
      </c>
      <c r="L12" s="2">
        <f>H4/$D$7</f>
        <v>0</v>
      </c>
    </row>
    <row r="13" spans="2:12" x14ac:dyDescent="0.35">
      <c r="B13" t="s">
        <v>4</v>
      </c>
      <c r="C13" s="2">
        <f>C5/$C$7</f>
        <v>0.30372784051696017</v>
      </c>
      <c r="D13" s="2">
        <f>D5/$D$7</f>
        <v>0.30372784051696017</v>
      </c>
      <c r="F13" t="s">
        <v>4</v>
      </c>
      <c r="G13" s="2">
        <f t="shared" ref="G13:G14" si="0">G5/$G$8</f>
        <v>0.12912774987038225</v>
      </c>
      <c r="H13" s="2">
        <f t="shared" ref="H13:H15" si="1">H5/$H$8</f>
        <v>0.12912774987038225</v>
      </c>
      <c r="J13" t="s">
        <v>4</v>
      </c>
      <c r="K13" s="2">
        <f>G5/$C$7</f>
        <v>0.12912774987038225</v>
      </c>
      <c r="L13" s="2">
        <f>H5/$D$7</f>
        <v>0.12912774987038225</v>
      </c>
    </row>
    <row r="14" spans="2:12" x14ac:dyDescent="0.35">
      <c r="B14" t="s">
        <v>5</v>
      </c>
      <c r="C14" s="2">
        <f>C6/$C$7</f>
        <v>0.50207560061941825</v>
      </c>
      <c r="D14" s="2">
        <f>D6/$D$7</f>
        <v>0.50207560061941825</v>
      </c>
      <c r="F14" t="s">
        <v>8</v>
      </c>
      <c r="G14" s="2">
        <f>G6/$G$8</f>
        <v>0.50207560061941814</v>
      </c>
      <c r="H14" s="2">
        <f t="shared" si="1"/>
        <v>0.50207560061941825</v>
      </c>
      <c r="J14" t="s">
        <v>8</v>
      </c>
      <c r="K14" s="2">
        <f>G6/$C$7</f>
        <v>0.50207560061941814</v>
      </c>
      <c r="L14" s="2">
        <f>H6/$D$7</f>
        <v>0.50207560061941825</v>
      </c>
    </row>
    <row r="15" spans="2:12" x14ac:dyDescent="0.35">
      <c r="C15" s="2">
        <f>SUM(C12:C14)</f>
        <v>0.99999999999999989</v>
      </c>
      <c r="D15" s="2">
        <f>SUM(D12:D14)</f>
        <v>1</v>
      </c>
      <c r="F15" t="s">
        <v>13</v>
      </c>
      <c r="G15" s="2">
        <f>G7/$G$8</f>
        <v>0.36879664951019958</v>
      </c>
      <c r="H15" s="2">
        <f t="shared" si="1"/>
        <v>0.36879664951019953</v>
      </c>
      <c r="K15" s="2">
        <f>SUM(K12:K14)</f>
        <v>0.63120335048980036</v>
      </c>
      <c r="L15" s="2">
        <f>SUM(L12:L14)</f>
        <v>0.63120335048980047</v>
      </c>
    </row>
    <row r="16" spans="2:12" x14ac:dyDescent="0.35">
      <c r="G16" s="6">
        <f>SUM(G12:G15)</f>
        <v>1</v>
      </c>
      <c r="H16" s="6">
        <f>SUM(H12:H15)</f>
        <v>1</v>
      </c>
    </row>
    <row r="17" spans="6:11" x14ac:dyDescent="0.35">
      <c r="J17" s="3" t="s">
        <v>12</v>
      </c>
      <c r="K17" s="4">
        <f>1-G7/C7</f>
        <v>0.63120335048980047</v>
      </c>
    </row>
    <row r="18" spans="6:11" x14ac:dyDescent="0.35">
      <c r="F18" s="5" t="s">
        <v>7</v>
      </c>
      <c r="G18" s="5"/>
      <c r="H18" s="5"/>
    </row>
    <row r="19" spans="6:11" x14ac:dyDescent="0.35">
      <c r="F19" t="s">
        <v>0</v>
      </c>
      <c r="G19" t="s">
        <v>9</v>
      </c>
      <c r="H19" t="s">
        <v>10</v>
      </c>
    </row>
    <row r="20" spans="6:11" x14ac:dyDescent="0.35">
      <c r="F20" t="s">
        <v>3</v>
      </c>
      <c r="G20" s="2">
        <f>G4/$K$4</f>
        <v>0</v>
      </c>
      <c r="H20" s="2"/>
    </row>
    <row r="21" spans="6:11" x14ac:dyDescent="0.35">
      <c r="F21" t="s">
        <v>4</v>
      </c>
      <c r="G21" s="2">
        <f t="shared" ref="G21:G23" si="2">G5/$K$4</f>
        <v>0.2045739297330755</v>
      </c>
      <c r="H21" s="2"/>
    </row>
    <row r="22" spans="6:11" x14ac:dyDescent="0.35">
      <c r="F22" t="s">
        <v>8</v>
      </c>
      <c r="G22" s="2">
        <f t="shared" si="2"/>
        <v>0.79542607026692447</v>
      </c>
      <c r="H22" s="2"/>
    </row>
    <row r="23" spans="6:11" x14ac:dyDescent="0.35">
      <c r="G23" s="2"/>
      <c r="H23" s="2"/>
    </row>
    <row r="24" spans="6:11" x14ac:dyDescent="0.35">
      <c r="G24" s="6"/>
      <c r="H24" s="6"/>
    </row>
  </sheetData>
  <mergeCells count="6">
    <mergeCell ref="F18:H18"/>
    <mergeCell ref="B2:D2"/>
    <mergeCell ref="F2:H2"/>
    <mergeCell ref="B10:D10"/>
    <mergeCell ref="F10:H10"/>
    <mergeCell ref="J10:L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1_Maneuver</vt:lpstr>
      <vt:lpstr>2_Maneuver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Solis Zamora</dc:creator>
  <cp:lastModifiedBy>Leonardo Solis</cp:lastModifiedBy>
  <dcterms:created xsi:type="dcterms:W3CDTF">2025-12-22T13:31:08Z</dcterms:created>
  <dcterms:modified xsi:type="dcterms:W3CDTF">2026-01-23T13:30:43Z</dcterms:modified>
</cp:coreProperties>
</file>