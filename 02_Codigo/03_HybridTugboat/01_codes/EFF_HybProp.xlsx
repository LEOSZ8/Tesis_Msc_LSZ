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 PC\Desktop\Tesis Magister\02_Codigo\03_HybridTugboat\01_codes\"/>
    </mc:Choice>
  </mc:AlternateContent>
  <xr:revisionPtr revIDLastSave="0" documentId="13_ncr:1_{A8D180E3-74C5-49CD-ACA1-AA6613620144}" xr6:coauthVersionLast="47" xr6:coauthVersionMax="47" xr10:uidLastSave="{00000000-0000-0000-0000-000000000000}"/>
  <bookViews>
    <workbookView xWindow="20370" yWindow="-4695" windowWidth="29040" windowHeight="15840" activeTab="1" xr2:uid="{00000000-000D-0000-FFFF-FFFF00000000}"/>
  </bookViews>
  <sheets>
    <sheet name="30 min_1m" sheetId="4" r:id="rId1"/>
    <sheet name="30 min_2m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fB7NYoo45u4/amyriYxtDfPcdd//nPkQoi5t7+CEUi0="/>
    </ext>
  </extLst>
</workbook>
</file>

<file path=xl/calcChain.xml><?xml version="1.0" encoding="utf-8"?>
<calcChain xmlns="http://schemas.openxmlformats.org/spreadsheetml/2006/main">
  <c r="P21" i="5" l="1"/>
  <c r="P20" i="5"/>
  <c r="L23" i="5"/>
  <c r="L20" i="5"/>
  <c r="L19" i="5"/>
  <c r="L7" i="5"/>
  <c r="K15" i="4"/>
  <c r="K16" i="4"/>
  <c r="K13" i="4"/>
  <c r="W32" i="4"/>
  <c r="Q26" i="5"/>
  <c r="Q21" i="5"/>
  <c r="Q20" i="5"/>
  <c r="L22" i="5"/>
  <c r="L10" i="5"/>
  <c r="C4" i="5"/>
  <c r="L8" i="5" s="1"/>
  <c r="G5" i="5"/>
  <c r="W26" i="4"/>
  <c r="T15" i="4"/>
  <c r="T14" i="4"/>
  <c r="T13" i="4"/>
  <c r="K17" i="4"/>
  <c r="K14" i="4"/>
  <c r="K18" i="4"/>
  <c r="J18" i="4"/>
  <c r="J13" i="4"/>
  <c r="I13" i="4" l="1"/>
  <c r="T9" i="4"/>
  <c r="B7" i="4"/>
  <c r="P10" i="4" s="1"/>
  <c r="H21" i="5"/>
  <c r="H9" i="5"/>
  <c r="I5" i="5"/>
  <c r="J5" i="5" s="1"/>
  <c r="J15" i="4"/>
  <c r="C7" i="4"/>
  <c r="M12" i="4"/>
  <c r="G6" i="5"/>
  <c r="G7" i="5"/>
  <c r="I7" i="5" s="1"/>
  <c r="J7" i="5" s="1"/>
  <c r="G8" i="5"/>
  <c r="G9" i="5"/>
  <c r="I9" i="5" s="1"/>
  <c r="J9" i="5" s="1"/>
  <c r="G10" i="5"/>
  <c r="M10" i="5" s="1"/>
  <c r="G11" i="5"/>
  <c r="I11" i="5" s="1"/>
  <c r="J11" i="5" s="1"/>
  <c r="G12" i="5"/>
  <c r="I12" i="5" s="1"/>
  <c r="J12" i="5" s="1"/>
  <c r="G13" i="5"/>
  <c r="G14" i="5"/>
  <c r="I14" i="5" s="1"/>
  <c r="J14" i="5" s="1"/>
  <c r="G15" i="5"/>
  <c r="G16" i="5"/>
  <c r="I16" i="5" s="1"/>
  <c r="J16" i="5" s="1"/>
  <c r="G17" i="5"/>
  <c r="I17" i="5" s="1"/>
  <c r="J17" i="5" s="1"/>
  <c r="G18" i="5"/>
  <c r="G19" i="5"/>
  <c r="M19" i="5" s="1"/>
  <c r="G20" i="5"/>
  <c r="I20" i="5" s="1"/>
  <c r="J20" i="5" s="1"/>
  <c r="G21" i="5"/>
  <c r="I21" i="5" s="1"/>
  <c r="J21" i="5" s="1"/>
  <c r="G22" i="5"/>
  <c r="M22" i="5" s="1"/>
  <c r="Q12" i="5" s="1"/>
  <c r="G23" i="5"/>
  <c r="G24" i="5"/>
  <c r="I24" i="5" s="1"/>
  <c r="J24" i="5" s="1"/>
  <c r="G4" i="5"/>
  <c r="I4" i="5" s="1"/>
  <c r="J4" i="5" s="1"/>
  <c r="I8" i="4"/>
  <c r="P8" i="4" s="1"/>
  <c r="Q8" i="4" s="1"/>
  <c r="N10" i="4"/>
  <c r="S10" i="4" s="1"/>
  <c r="N12" i="4"/>
  <c r="S12" i="4" s="1"/>
  <c r="I14" i="4"/>
  <c r="N14" i="4" s="1"/>
  <c r="I15" i="4"/>
  <c r="I16" i="4"/>
  <c r="N16" i="4" s="1"/>
  <c r="I17" i="4"/>
  <c r="N17" i="4" s="1"/>
  <c r="I18" i="4"/>
  <c r="N19" i="4"/>
  <c r="N23" i="4"/>
  <c r="I27" i="4"/>
  <c r="I7" i="4"/>
  <c r="M6" i="5"/>
  <c r="M24" i="5"/>
  <c r="I19" i="5"/>
  <c r="J19" i="5" s="1"/>
  <c r="M18" i="5"/>
  <c r="M12" i="5"/>
  <c r="I8" i="5"/>
  <c r="J8" i="5" s="1"/>
  <c r="M27" i="4"/>
  <c r="N26" i="4"/>
  <c r="N25" i="4"/>
  <c r="N24" i="4"/>
  <c r="N21" i="4"/>
  <c r="M10" i="4"/>
  <c r="M8" i="4"/>
  <c r="M7" i="4"/>
  <c r="I10" i="5" l="1"/>
  <c r="J10" i="5" s="1"/>
  <c r="M11" i="5"/>
  <c r="M9" i="5"/>
  <c r="Q14" i="5" s="1"/>
  <c r="L9" i="5"/>
  <c r="M21" i="5"/>
  <c r="Q13" i="5" s="1"/>
  <c r="L21" i="5"/>
  <c r="M14" i="5"/>
  <c r="M17" i="5"/>
  <c r="M7" i="5"/>
  <c r="Q11" i="5" s="1"/>
  <c r="M5" i="5"/>
  <c r="Q6" i="5" s="1"/>
  <c r="I23" i="5"/>
  <c r="J23" i="5" s="1"/>
  <c r="P9" i="5" s="1"/>
  <c r="P24" i="4"/>
  <c r="P17" i="4"/>
  <c r="P18" i="4"/>
  <c r="Q18" i="4" s="1"/>
  <c r="P22" i="4"/>
  <c r="P7" i="4"/>
  <c r="Q7" i="4" s="1"/>
  <c r="R7" i="4" s="1"/>
  <c r="R8" i="4" s="1"/>
  <c r="P20" i="4"/>
  <c r="P11" i="4"/>
  <c r="Q11" i="4" s="1"/>
  <c r="P25" i="4"/>
  <c r="Q25" i="4" s="1"/>
  <c r="P14" i="4"/>
  <c r="Q14" i="4" s="1"/>
  <c r="P27" i="4"/>
  <c r="Q27" i="4" s="1"/>
  <c r="P21" i="4"/>
  <c r="Q21" i="4" s="1"/>
  <c r="P9" i="4"/>
  <c r="Q9" i="4" s="1"/>
  <c r="P15" i="4"/>
  <c r="T18" i="4"/>
  <c r="P26" i="4"/>
  <c r="P13" i="4"/>
  <c r="Q13" i="4" s="1"/>
  <c r="N20" i="4"/>
  <c r="N8" i="4"/>
  <c r="S8" i="4" s="1"/>
  <c r="Q22" i="4"/>
  <c r="S14" i="4"/>
  <c r="O13" i="4"/>
  <c r="O17" i="4"/>
  <c r="P16" i="4"/>
  <c r="Q16" i="4" s="1"/>
  <c r="P12" i="4"/>
  <c r="Q12" i="4" s="1"/>
  <c r="P23" i="4"/>
  <c r="Q23" i="4" s="1"/>
  <c r="P19" i="4"/>
  <c r="Q19" i="4" s="1"/>
  <c r="T22" i="4"/>
  <c r="M23" i="5"/>
  <c r="Q9" i="5" s="1"/>
  <c r="P10" i="5"/>
  <c r="X27" i="4"/>
  <c r="T17" i="4"/>
  <c r="S19" i="4"/>
  <c r="S23" i="4"/>
  <c r="M8" i="5"/>
  <c r="M16" i="5"/>
  <c r="Q5" i="5" s="1"/>
  <c r="Q8" i="5"/>
  <c r="M20" i="5"/>
  <c r="M4" i="5"/>
  <c r="L14" i="4"/>
  <c r="N15" i="4"/>
  <c r="S15" i="4" s="1"/>
  <c r="T7" i="4"/>
  <c r="N9" i="4"/>
  <c r="S9" i="4" s="1"/>
  <c r="O14" i="4"/>
  <c r="S17" i="4"/>
  <c r="N27" i="4"/>
  <c r="S27" i="4" s="1"/>
  <c r="Q20" i="4"/>
  <c r="T27" i="4"/>
  <c r="Q24" i="4"/>
  <c r="T23" i="4"/>
  <c r="T19" i="4"/>
  <c r="T12" i="4"/>
  <c r="N11" i="4"/>
  <c r="S11" i="4" s="1"/>
  <c r="T10" i="4"/>
  <c r="Q10" i="4"/>
  <c r="T8" i="4"/>
  <c r="P13" i="5"/>
  <c r="K4" i="5"/>
  <c r="K5" i="5" s="1"/>
  <c r="S21" i="4"/>
  <c r="T21" i="4"/>
  <c r="S25" i="4"/>
  <c r="T25" i="4"/>
  <c r="P15" i="5"/>
  <c r="P14" i="5"/>
  <c r="P7" i="5"/>
  <c r="S16" i="4"/>
  <c r="O16" i="4"/>
  <c r="T16" i="4"/>
  <c r="T26" i="4"/>
  <c r="Q26" i="4"/>
  <c r="S26" i="4"/>
  <c r="I13" i="5"/>
  <c r="J13" i="5" s="1"/>
  <c r="M13" i="5"/>
  <c r="T11" i="4"/>
  <c r="N13" i="4"/>
  <c r="S13" i="4" s="1"/>
  <c r="Q17" i="4"/>
  <c r="S24" i="4"/>
  <c r="T24" i="4"/>
  <c r="P11" i="5"/>
  <c r="P5" i="5"/>
  <c r="I15" i="5"/>
  <c r="J15" i="5" s="1"/>
  <c r="M15" i="5"/>
  <c r="S20" i="4"/>
  <c r="T20" i="4"/>
  <c r="P6" i="5"/>
  <c r="I22" i="5"/>
  <c r="J22" i="5" s="1"/>
  <c r="N7" i="4"/>
  <c r="S7" i="4" s="1"/>
  <c r="O15" i="4"/>
  <c r="N18" i="4"/>
  <c r="S18" i="4" s="1"/>
  <c r="N22" i="4"/>
  <c r="S22" i="4" s="1"/>
  <c r="Q10" i="5"/>
  <c r="Q15" i="4"/>
  <c r="O18" i="4"/>
  <c r="I6" i="5"/>
  <c r="J6" i="5" s="1"/>
  <c r="I18" i="5"/>
  <c r="J18" i="5" s="1"/>
  <c r="Q7" i="5" l="1"/>
  <c r="R9" i="4"/>
  <c r="W25" i="4"/>
  <c r="M14" i="4"/>
  <c r="M25" i="5"/>
  <c r="X26" i="4"/>
  <c r="Q15" i="5"/>
  <c r="X25" i="4"/>
  <c r="R10" i="4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M15" i="4"/>
  <c r="L15" i="4"/>
  <c r="M21" i="4"/>
  <c r="M16" i="4"/>
  <c r="L16" i="4"/>
  <c r="M19" i="4"/>
  <c r="M22" i="4"/>
  <c r="L13" i="4"/>
  <c r="M13" i="4"/>
  <c r="M24" i="4"/>
  <c r="J25" i="5"/>
  <c r="K6" i="5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P8" i="5"/>
  <c r="M11" i="4"/>
  <c r="L18" i="4"/>
  <c r="M18" i="4"/>
  <c r="P12" i="5"/>
  <c r="M17" i="4"/>
  <c r="L17" i="4"/>
  <c r="M23" i="4"/>
  <c r="W27" i="4"/>
  <c r="M26" i="4"/>
  <c r="M9" i="4"/>
  <c r="M20" i="4"/>
  <c r="M25" i="4"/>
  <c r="X28" i="4" l="1"/>
  <c r="X33" i="4" s="1"/>
  <c r="Q22" i="5"/>
  <c r="P16" i="5"/>
  <c r="Q16" i="5"/>
  <c r="W28" i="4"/>
  <c r="W31" i="4" s="1"/>
  <c r="P22" i="5"/>
  <c r="P27" i="5" l="1"/>
  <c r="P26" i="5"/>
  <c r="X32" i="4"/>
  <c r="X31" i="4"/>
  <c r="Q25" i="5"/>
  <c r="Q27" i="5"/>
  <c r="W33" i="4"/>
  <c r="P25" i="5"/>
  <c r="Q28" i="5" l="1"/>
  <c r="X34" i="4"/>
  <c r="W34" i="4"/>
  <c r="P2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Solis Zamora</author>
  </authors>
  <commentList>
    <comment ref="C6" authorId="0" shapeId="0" xr:uid="{2A1AC84E-20EF-4573-A3C3-2D671956E63F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sfc min del sistem propulsivo, o sea, se suma el sfc de cada motor.</t>
        </r>
      </text>
    </comment>
    <comment ref="I6" authorId="0" shapeId="0" xr:uid="{22344900-588F-413B-B2A8-531B1E84867A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Potencia de ambos motores diesel.</t>
        </r>
      </text>
    </comment>
    <comment ref="J6" authorId="0" shapeId="0" xr:uid="{D8B8D918-F132-469F-B170-BFA4C9C64DF1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SFC de ambos motores diesel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Solis Zamora</author>
  </authors>
  <commentList>
    <comment ref="C3" authorId="0" shapeId="0" xr:uid="{BB77171A-5F0F-456A-9594-8799DECD47E3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sfc min del sistem propulsivo, o sea, se suma el sfc de cada motor.</t>
        </r>
      </text>
    </comment>
    <comment ref="H3" authorId="0" shapeId="0" xr:uid="{F3E13823-0D1A-4832-9B66-8B6DAEEC1C1D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sfc corresponde a la suma de ambos motores.</t>
        </r>
      </text>
    </comment>
  </commentList>
</comments>
</file>

<file path=xl/sharedStrings.xml><?xml version="1.0" encoding="utf-8"?>
<sst xmlns="http://schemas.openxmlformats.org/spreadsheetml/2006/main" count="66" uniqueCount="40">
  <si>
    <t>Densidad [kg/m3]</t>
  </si>
  <si>
    <t>Densidad [g/m3]</t>
  </si>
  <si>
    <t>Use Time</t>
  </si>
  <si>
    <t xml:space="preserve">Time </t>
  </si>
  <si>
    <t>Pot [kW]</t>
  </si>
  <si>
    <t>Pot_nom</t>
  </si>
  <si>
    <t>sfc</t>
  </si>
  <si>
    <t>eff_sfc_rel</t>
  </si>
  <si>
    <t>Energy</t>
  </si>
  <si>
    <t>sfc/Pot</t>
  </si>
  <si>
    <t>fuel [m3/h]</t>
  </si>
  <si>
    <t>g_fuel</t>
  </si>
  <si>
    <t>Emiss</t>
  </si>
  <si>
    <t>eff_sfc_max</t>
  </si>
  <si>
    <t>eff_sfc/Pot</t>
  </si>
  <si>
    <t>Ineff_sfc_rel</t>
  </si>
  <si>
    <t>Emis</t>
  </si>
  <si>
    <t>fuel [L/h]</t>
  </si>
  <si>
    <t>fuel acc [L]</t>
  </si>
  <si>
    <t>Pot_acc [kW]</t>
  </si>
  <si>
    <t>Fuel [L]</t>
  </si>
  <si>
    <t xml:space="preserve">Emiss </t>
  </si>
  <si>
    <t>Pot [%]</t>
  </si>
  <si>
    <t>Pot acc [kW]</t>
  </si>
  <si>
    <t>Fuel</t>
  </si>
  <si>
    <t>Pot acc[kW]</t>
  </si>
  <si>
    <t>Fuel (%)</t>
  </si>
  <si>
    <t>2000-3620</t>
  </si>
  <si>
    <t>Batt</t>
  </si>
  <si>
    <t>Diesel Engine</t>
  </si>
  <si>
    <t>Main GenSet</t>
  </si>
  <si>
    <t>sfc_min_MainGenSet</t>
  </si>
  <si>
    <t>sfc_min_DieselProp</t>
  </si>
  <si>
    <t>0-1000</t>
  </si>
  <si>
    <t>1000-2000</t>
  </si>
  <si>
    <t>0kW-1000kW</t>
  </si>
  <si>
    <t>1000kW-2000kW</t>
  </si>
  <si>
    <t>2000kW-3650kW</t>
  </si>
  <si>
    <t>2000-3650</t>
  </si>
  <si>
    <t>Emiss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</si>
</sst>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9">
    <xf numFmtId="0" fontId="0" fillId="0" borderId="0" xfId="0"/>
    <xf numFmtId="0" fontId="4" fillId="0" borderId="0" xfId="0" applyFont="1"/>
    <xf numFmtId="1" fontId="5" fillId="0" borderId="0" xfId="0" applyNumberFormat="1" applyFont="1"/>
    <xf numFmtId="9" fontId="5" fillId="0" borderId="0" xfId="0" applyNumberFormat="1" applyFont="1"/>
    <xf numFmtId="2" fontId="5" fillId="0" borderId="0" xfId="0" applyNumberFormat="1" applyFont="1"/>
    <xf numFmtId="0" fontId="6" fillId="0" borderId="0" xfId="0" applyFont="1"/>
    <xf numFmtId="1" fontId="6" fillId="0" borderId="0" xfId="0" applyNumberFormat="1" applyFont="1"/>
    <xf numFmtId="9" fontId="4" fillId="0" borderId="0" xfId="0" applyNumberFormat="1" applyFont="1"/>
    <xf numFmtId="0" fontId="4" fillId="2" borderId="0" xfId="0" applyFont="1" applyFill="1"/>
    <xf numFmtId="0" fontId="3" fillId="0" borderId="0" xfId="0" applyFont="1"/>
    <xf numFmtId="0" fontId="0" fillId="2" borderId="0" xfId="0" applyFill="1"/>
    <xf numFmtId="0" fontId="4" fillId="3" borderId="0" xfId="0" applyFont="1" applyFill="1"/>
    <xf numFmtId="0" fontId="9" fillId="3" borderId="0" xfId="0" applyFont="1" applyFill="1"/>
    <xf numFmtId="0" fontId="9" fillId="4" borderId="0" xfId="0" applyFont="1" applyFill="1"/>
    <xf numFmtId="0" fontId="2" fillId="0" borderId="0" xfId="0" applyFont="1"/>
    <xf numFmtId="0" fontId="1" fillId="0" borderId="0" xfId="0" applyFont="1"/>
    <xf numFmtId="9" fontId="4" fillId="0" borderId="0" xfId="1" applyFont="1"/>
    <xf numFmtId="9" fontId="6" fillId="0" borderId="0" xfId="1" applyFont="1"/>
    <xf numFmtId="1" fontId="4" fillId="0" borderId="0" xfId="0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0"/>
  <sheetViews>
    <sheetView topLeftCell="J7" workbookViewId="0">
      <selection activeCell="W25" sqref="W25:X28"/>
    </sheetView>
  </sheetViews>
  <sheetFormatPr baseColWidth="10" defaultColWidth="12.5703125" defaultRowHeight="15" customHeight="1" x14ac:dyDescent="0.25"/>
  <cols>
    <col min="1" max="1" width="16.5703125" customWidth="1"/>
    <col min="2" max="2" width="15.42578125" customWidth="1"/>
    <col min="3" max="3" width="18.42578125" bestFit="1" customWidth="1"/>
    <col min="4" max="4" width="19.28515625" bestFit="1" customWidth="1"/>
    <col min="5" max="5" width="15.42578125" customWidth="1"/>
    <col min="6" max="6" width="10.5703125" customWidth="1"/>
    <col min="7" max="8" width="16.5703125" customWidth="1"/>
    <col min="9" max="14" width="10.5703125" customWidth="1"/>
    <col min="15" max="15" width="16.5703125" customWidth="1"/>
    <col min="16" max="18" width="15.42578125" customWidth="1"/>
    <col min="19" max="21" width="10.5703125" customWidth="1"/>
    <col min="22" max="22" width="12.140625" customWidth="1"/>
    <col min="23" max="23" width="10.5703125" customWidth="1"/>
    <col min="24" max="24" width="11.7109375" customWidth="1"/>
    <col min="25" max="41" width="10.5703125" customWidth="1"/>
  </cols>
  <sheetData>
    <row r="1" spans="1:20" ht="15" customHeight="1" x14ac:dyDescent="0.25">
      <c r="B1" s="10" t="s">
        <v>35</v>
      </c>
    </row>
    <row r="2" spans="1:20" ht="15" customHeight="1" x14ac:dyDescent="0.25">
      <c r="B2" s="12" t="s">
        <v>36</v>
      </c>
    </row>
    <row r="3" spans="1:20" ht="15" customHeight="1" x14ac:dyDescent="0.25">
      <c r="B3" s="13" t="s">
        <v>37</v>
      </c>
    </row>
    <row r="6" spans="1:20" x14ac:dyDescent="0.25">
      <c r="A6" s="1" t="s">
        <v>0</v>
      </c>
      <c r="B6" s="1" t="s">
        <v>1</v>
      </c>
      <c r="C6" s="14" t="s">
        <v>32</v>
      </c>
      <c r="D6" s="14" t="s">
        <v>31</v>
      </c>
      <c r="E6" s="1" t="s">
        <v>13</v>
      </c>
      <c r="F6" s="1" t="s">
        <v>2</v>
      </c>
      <c r="G6" s="1" t="s">
        <v>3</v>
      </c>
      <c r="H6" s="1" t="s">
        <v>4</v>
      </c>
      <c r="I6" s="1" t="s">
        <v>5</v>
      </c>
      <c r="J6" s="1" t="s">
        <v>6</v>
      </c>
      <c r="K6" s="1" t="s">
        <v>7</v>
      </c>
      <c r="L6" s="1" t="s">
        <v>14</v>
      </c>
      <c r="M6" s="1" t="s">
        <v>15</v>
      </c>
      <c r="N6" s="1" t="s">
        <v>8</v>
      </c>
      <c r="O6" s="1" t="s">
        <v>9</v>
      </c>
      <c r="P6" s="1" t="s">
        <v>10</v>
      </c>
      <c r="Q6" s="1" t="s">
        <v>17</v>
      </c>
      <c r="R6" s="1" t="s">
        <v>18</v>
      </c>
      <c r="S6" s="1" t="s">
        <v>11</v>
      </c>
      <c r="T6" s="1" t="s">
        <v>16</v>
      </c>
    </row>
    <row r="7" spans="1:20" x14ac:dyDescent="0.25">
      <c r="A7" s="1">
        <v>832.5</v>
      </c>
      <c r="B7" s="1">
        <f>A7*1000</f>
        <v>832500</v>
      </c>
      <c r="C7" s="1">
        <f>2*217.575</f>
        <v>435.15</v>
      </c>
      <c r="D7" s="1">
        <v>193.864</v>
      </c>
      <c r="E7" s="1">
        <v>1</v>
      </c>
      <c r="F7" s="1">
        <v>0.5</v>
      </c>
      <c r="G7" s="1">
        <v>8</v>
      </c>
      <c r="H7" s="1">
        <v>0</v>
      </c>
      <c r="I7" s="1">
        <f>2*1825*H7</f>
        <v>0</v>
      </c>
      <c r="J7" s="9">
        <v>0</v>
      </c>
      <c r="K7" s="1">
        <v>0</v>
      </c>
      <c r="L7" s="1">
        <v>0</v>
      </c>
      <c r="M7" s="1">
        <f t="shared" ref="M7:M27" si="0">100-K7</f>
        <v>100</v>
      </c>
      <c r="N7" s="1">
        <f t="shared" ref="N7:N27" si="1">I7*$F$7</f>
        <v>0</v>
      </c>
      <c r="O7" s="1">
        <v>0</v>
      </c>
      <c r="P7" s="1">
        <f t="shared" ref="P7:P27" si="2">(I7*J7)/$B$7</f>
        <v>0</v>
      </c>
      <c r="Q7" s="1">
        <f t="shared" ref="Q7:Q27" si="3">P7*1000</f>
        <v>0</v>
      </c>
      <c r="R7" s="1">
        <f>Q7*F7</f>
        <v>0</v>
      </c>
      <c r="S7" s="1">
        <f t="shared" ref="S7:S27" si="4">J7*N7</f>
        <v>0</v>
      </c>
      <c r="T7" s="1">
        <f t="shared" ref="T7:T27" si="5">(J7*I7*0.5*3.207)/1000000</f>
        <v>0</v>
      </c>
    </row>
    <row r="8" spans="1:20" x14ac:dyDescent="0.25">
      <c r="G8" s="1">
        <v>8.5000000000000107</v>
      </c>
      <c r="H8" s="1">
        <v>0</v>
      </c>
      <c r="I8" s="1">
        <f t="shared" ref="I8:I27" si="6">2*1825*H8</f>
        <v>0</v>
      </c>
      <c r="J8" s="1">
        <v>0</v>
      </c>
      <c r="K8" s="1">
        <v>0</v>
      </c>
      <c r="L8" s="1">
        <v>0</v>
      </c>
      <c r="M8" s="1">
        <f t="shared" si="0"/>
        <v>100</v>
      </c>
      <c r="N8" s="1">
        <f t="shared" si="1"/>
        <v>0</v>
      </c>
      <c r="O8" s="1">
        <v>0</v>
      </c>
      <c r="P8" s="1">
        <f t="shared" si="2"/>
        <v>0</v>
      </c>
      <c r="Q8" s="1">
        <f t="shared" si="3"/>
        <v>0</v>
      </c>
      <c r="R8" s="1">
        <f t="shared" ref="R8:R27" si="7">Q8*$F$7+R7</f>
        <v>0</v>
      </c>
      <c r="S8" s="1">
        <f t="shared" si="4"/>
        <v>0</v>
      </c>
      <c r="T8" s="1">
        <f t="shared" si="5"/>
        <v>0</v>
      </c>
    </row>
    <row r="9" spans="1:20" x14ac:dyDescent="0.25">
      <c r="G9" s="1">
        <v>9.0000000000000107</v>
      </c>
      <c r="H9" s="1">
        <v>0.05</v>
      </c>
      <c r="I9" s="8">
        <v>0</v>
      </c>
      <c r="J9" s="1">
        <v>0</v>
      </c>
      <c r="K9" s="1">
        <v>0</v>
      </c>
      <c r="L9" s="1">
        <v>0</v>
      </c>
      <c r="M9" s="1">
        <f t="shared" si="0"/>
        <v>100</v>
      </c>
      <c r="N9" s="1">
        <f t="shared" si="1"/>
        <v>0</v>
      </c>
      <c r="O9" s="1">
        <v>0</v>
      </c>
      <c r="P9" s="1">
        <f>(I9*J9)/$B$7</f>
        <v>0</v>
      </c>
      <c r="Q9" s="1">
        <f t="shared" si="3"/>
        <v>0</v>
      </c>
      <c r="R9" s="1">
        <f t="shared" si="7"/>
        <v>0</v>
      </c>
      <c r="S9" s="1">
        <f t="shared" si="4"/>
        <v>0</v>
      </c>
      <c r="T9" s="1">
        <f t="shared" si="5"/>
        <v>0</v>
      </c>
    </row>
    <row r="10" spans="1:20" x14ac:dyDescent="0.25">
      <c r="A10" s="10" t="s">
        <v>28</v>
      </c>
      <c r="G10" s="1">
        <v>9.5000000000000195</v>
      </c>
      <c r="H10" s="1">
        <v>0.05</v>
      </c>
      <c r="I10" s="8">
        <v>0</v>
      </c>
      <c r="J10" s="9">
        <v>0</v>
      </c>
      <c r="K10" s="1">
        <v>0</v>
      </c>
      <c r="L10" s="1">
        <v>0</v>
      </c>
      <c r="M10" s="1">
        <f t="shared" si="0"/>
        <v>100</v>
      </c>
      <c r="N10" s="1">
        <f t="shared" si="1"/>
        <v>0</v>
      </c>
      <c r="O10" s="1">
        <v>0</v>
      </c>
      <c r="P10" s="1">
        <f t="shared" si="2"/>
        <v>0</v>
      </c>
      <c r="Q10" s="1">
        <f t="shared" si="3"/>
        <v>0</v>
      </c>
      <c r="R10" s="1">
        <f t="shared" si="7"/>
        <v>0</v>
      </c>
      <c r="S10" s="1">
        <f t="shared" si="4"/>
        <v>0</v>
      </c>
      <c r="T10" s="1">
        <f t="shared" si="5"/>
        <v>0</v>
      </c>
    </row>
    <row r="11" spans="1:20" x14ac:dyDescent="0.25">
      <c r="A11" s="12" t="s">
        <v>30</v>
      </c>
      <c r="G11" s="1">
        <v>10</v>
      </c>
      <c r="H11" s="1">
        <v>0.25</v>
      </c>
      <c r="I11" s="8">
        <v>0</v>
      </c>
      <c r="J11" s="1">
        <v>0</v>
      </c>
      <c r="K11" s="1">
        <v>0</v>
      </c>
      <c r="L11" s="1">
        <v>0</v>
      </c>
      <c r="M11" s="1">
        <f t="shared" si="0"/>
        <v>100</v>
      </c>
      <c r="N11" s="1">
        <f t="shared" si="1"/>
        <v>0</v>
      </c>
      <c r="O11" s="1">
        <v>0</v>
      </c>
      <c r="P11" s="1">
        <f t="shared" si="2"/>
        <v>0</v>
      </c>
      <c r="Q11" s="1">
        <f t="shared" si="3"/>
        <v>0</v>
      </c>
      <c r="R11" s="1">
        <f t="shared" si="7"/>
        <v>0</v>
      </c>
      <c r="S11" s="1">
        <f t="shared" si="4"/>
        <v>0</v>
      </c>
      <c r="T11" s="1">
        <f t="shared" si="5"/>
        <v>0</v>
      </c>
    </row>
    <row r="12" spans="1:20" x14ac:dyDescent="0.25">
      <c r="A12" s="13" t="s">
        <v>29</v>
      </c>
      <c r="G12" s="1">
        <v>10.5</v>
      </c>
      <c r="H12" s="1">
        <v>0.25</v>
      </c>
      <c r="I12" s="8">
        <v>0</v>
      </c>
      <c r="J12" s="1">
        <v>0</v>
      </c>
      <c r="K12" s="1">
        <v>0</v>
      </c>
      <c r="L12" s="1">
        <v>0</v>
      </c>
      <c r="M12" s="1">
        <f t="shared" si="0"/>
        <v>100</v>
      </c>
      <c r="N12" s="1">
        <f t="shared" si="1"/>
        <v>0</v>
      </c>
      <c r="O12" s="1">
        <v>0</v>
      </c>
      <c r="P12" s="1">
        <f t="shared" si="2"/>
        <v>0</v>
      </c>
      <c r="Q12" s="1">
        <f t="shared" si="3"/>
        <v>0</v>
      </c>
      <c r="R12" s="1">
        <f t="shared" si="7"/>
        <v>0</v>
      </c>
      <c r="S12" s="1">
        <f t="shared" si="4"/>
        <v>0</v>
      </c>
      <c r="T12" s="1">
        <f t="shared" si="5"/>
        <v>0</v>
      </c>
    </row>
    <row r="13" spans="1:20" x14ac:dyDescent="0.25">
      <c r="G13" s="1">
        <v>11</v>
      </c>
      <c r="H13" s="1">
        <v>0.35</v>
      </c>
      <c r="I13" s="11">
        <f>2*1825*H13</f>
        <v>1277.5</v>
      </c>
      <c r="J13" s="1">
        <f>205.42</f>
        <v>205.42</v>
      </c>
      <c r="K13" s="1">
        <f>$D$7*100/J13</f>
        <v>94.374452341544171</v>
      </c>
      <c r="L13" s="1">
        <f t="shared" ref="L13:L18" si="8">K13/I13</f>
        <v>7.3874326686140246E-2</v>
      </c>
      <c r="M13" s="1">
        <f t="shared" si="0"/>
        <v>5.6255476584558295</v>
      </c>
      <c r="N13" s="1">
        <f t="shared" si="1"/>
        <v>638.75</v>
      </c>
      <c r="O13" s="1">
        <f t="shared" ref="O13:O18" si="9">J13/I13</f>
        <v>0.16079843444227004</v>
      </c>
      <c r="P13" s="1">
        <f t="shared" si="2"/>
        <v>0.31522408408408409</v>
      </c>
      <c r="Q13" s="1">
        <f t="shared" si="3"/>
        <v>315.2240840840841</v>
      </c>
      <c r="R13" s="1">
        <f t="shared" si="7"/>
        <v>157.61204204204205</v>
      </c>
      <c r="S13" s="1">
        <f t="shared" si="4"/>
        <v>131212.02499999999</v>
      </c>
      <c r="T13" s="1">
        <f>(J13*I13*0.5*3.207)/1000000</f>
        <v>0.42079696417499995</v>
      </c>
    </row>
    <row r="14" spans="1:20" x14ac:dyDescent="0.25">
      <c r="G14" s="1">
        <v>11.5</v>
      </c>
      <c r="H14" s="1">
        <v>0.55000000000000004</v>
      </c>
      <c r="I14" s="11">
        <f t="shared" si="6"/>
        <v>2007.5000000000002</v>
      </c>
      <c r="J14" s="1">
        <v>194.876</v>
      </c>
      <c r="K14" s="1">
        <f>$D$7*100/J14</f>
        <v>99.480695416572601</v>
      </c>
      <c r="L14" s="1">
        <f t="shared" si="8"/>
        <v>4.9554518264793318E-2</v>
      </c>
      <c r="M14" s="1">
        <f t="shared" si="0"/>
        <v>0.51930458342739882</v>
      </c>
      <c r="N14" s="1">
        <f t="shared" si="1"/>
        <v>1003.7500000000001</v>
      </c>
      <c r="O14" s="1">
        <f t="shared" si="9"/>
        <v>9.7073972602739714E-2</v>
      </c>
      <c r="P14" s="1">
        <f>(I14*J14)/$B$7</f>
        <v>0.4699262102102103</v>
      </c>
      <c r="Q14" s="1">
        <f t="shared" si="3"/>
        <v>469.92621021021029</v>
      </c>
      <c r="R14" s="1">
        <f t="shared" si="7"/>
        <v>392.57514714714716</v>
      </c>
      <c r="S14" s="1">
        <f t="shared" si="4"/>
        <v>195606.78500000003</v>
      </c>
      <c r="T14" s="1">
        <f>(J14*I14*0.5*3.207)/1000000</f>
        <v>0.62731095949500004</v>
      </c>
    </row>
    <row r="15" spans="1:20" x14ac:dyDescent="0.25">
      <c r="G15" s="1">
        <v>12.000000000000099</v>
      </c>
      <c r="H15" s="1">
        <v>0.95</v>
      </c>
      <c r="I15" s="13">
        <f t="shared" si="6"/>
        <v>3467.5</v>
      </c>
      <c r="J15" s="1">
        <f>2*218.1</f>
        <v>436.2</v>
      </c>
      <c r="K15" s="1">
        <f>$C$7*100/J15</f>
        <v>99.759284731774414</v>
      </c>
      <c r="L15" s="1">
        <f t="shared" si="8"/>
        <v>2.8769800932018575E-2</v>
      </c>
      <c r="M15" s="1">
        <f t="shared" si="0"/>
        <v>0.24071526822558553</v>
      </c>
      <c r="N15" s="1">
        <f t="shared" si="1"/>
        <v>1733.75</v>
      </c>
      <c r="O15" s="1">
        <f t="shared" si="9"/>
        <v>0.12579668348954579</v>
      </c>
      <c r="P15" s="1">
        <f t="shared" si="2"/>
        <v>1.8168450450450451</v>
      </c>
      <c r="Q15" s="1">
        <f t="shared" si="3"/>
        <v>1816.845045045045</v>
      </c>
      <c r="R15" s="1">
        <f t="shared" si="7"/>
        <v>1300.9976696696697</v>
      </c>
      <c r="S15" s="1">
        <f t="shared" si="4"/>
        <v>756261.75</v>
      </c>
      <c r="T15" s="1">
        <f>(J15*I15*0.5*3.207)/1000000</f>
        <v>2.4253314322500001</v>
      </c>
    </row>
    <row r="16" spans="1:20" x14ac:dyDescent="0.25">
      <c r="G16" s="1">
        <v>12.500000000000099</v>
      </c>
      <c r="H16" s="1">
        <v>0.55000000000000004</v>
      </c>
      <c r="I16" s="11">
        <f t="shared" si="6"/>
        <v>2007.5000000000002</v>
      </c>
      <c r="J16" s="1">
        <v>194.876</v>
      </c>
      <c r="K16" s="1">
        <f>$D$7*100/J16</f>
        <v>99.480695416572601</v>
      </c>
      <c r="L16" s="1">
        <f t="shared" si="8"/>
        <v>4.9554518264793318E-2</v>
      </c>
      <c r="M16" s="1">
        <f t="shared" si="0"/>
        <v>0.51930458342739882</v>
      </c>
      <c r="N16" s="1">
        <f t="shared" si="1"/>
        <v>1003.7500000000001</v>
      </c>
      <c r="O16" s="1">
        <f t="shared" si="9"/>
        <v>9.7073972602739714E-2</v>
      </c>
      <c r="P16" s="1">
        <f t="shared" si="2"/>
        <v>0.4699262102102103</v>
      </c>
      <c r="Q16" s="1">
        <f t="shared" si="3"/>
        <v>469.92621021021029</v>
      </c>
      <c r="R16" s="1">
        <f t="shared" si="7"/>
        <v>1535.9607747747748</v>
      </c>
      <c r="S16" s="1">
        <f t="shared" si="4"/>
        <v>195606.78500000003</v>
      </c>
      <c r="T16" s="1">
        <f t="shared" si="5"/>
        <v>0.62731095949500004</v>
      </c>
    </row>
    <row r="17" spans="7:24" x14ac:dyDescent="0.25">
      <c r="G17" s="1">
        <v>13.000000000000099</v>
      </c>
      <c r="H17" s="1">
        <v>0.55000000000000004</v>
      </c>
      <c r="I17" s="11">
        <f t="shared" si="6"/>
        <v>2007.5000000000002</v>
      </c>
      <c r="J17" s="1">
        <v>194.876</v>
      </c>
      <c r="K17" s="1">
        <f>$D$7*100/J17</f>
        <v>99.480695416572601</v>
      </c>
      <c r="L17" s="1">
        <f t="shared" si="8"/>
        <v>4.9554518264793318E-2</v>
      </c>
      <c r="M17" s="1">
        <f t="shared" si="0"/>
        <v>0.51930458342739882</v>
      </c>
      <c r="N17" s="1">
        <f t="shared" si="1"/>
        <v>1003.7500000000001</v>
      </c>
      <c r="O17" s="1">
        <f t="shared" si="9"/>
        <v>9.7073972602739714E-2</v>
      </c>
      <c r="P17" s="1">
        <f t="shared" si="2"/>
        <v>0.4699262102102103</v>
      </c>
      <c r="Q17" s="1">
        <f t="shared" si="3"/>
        <v>469.92621021021029</v>
      </c>
      <c r="R17" s="1">
        <f t="shared" si="7"/>
        <v>1770.9238798798799</v>
      </c>
      <c r="S17" s="1">
        <f t="shared" si="4"/>
        <v>195606.78500000003</v>
      </c>
      <c r="T17" s="1">
        <f t="shared" si="5"/>
        <v>0.62731095949500004</v>
      </c>
    </row>
    <row r="18" spans="7:24" x14ac:dyDescent="0.25">
      <c r="G18" s="1">
        <v>13.500000000000099</v>
      </c>
      <c r="H18" s="1">
        <v>0.35</v>
      </c>
      <c r="I18" s="11">
        <f t="shared" si="6"/>
        <v>1277.5</v>
      </c>
      <c r="J18" s="1">
        <f>205.42</f>
        <v>205.42</v>
      </c>
      <c r="K18" s="1">
        <f>$D$7*100/J18</f>
        <v>94.374452341544171</v>
      </c>
      <c r="L18" s="1">
        <f t="shared" si="8"/>
        <v>7.3874326686140246E-2</v>
      </c>
      <c r="M18" s="1">
        <f t="shared" si="0"/>
        <v>5.6255476584558295</v>
      </c>
      <c r="N18" s="1">
        <f t="shared" si="1"/>
        <v>638.75</v>
      </c>
      <c r="O18" s="1">
        <f t="shared" si="9"/>
        <v>0.16079843444227004</v>
      </c>
      <c r="P18" s="1">
        <f t="shared" si="2"/>
        <v>0.31522408408408409</v>
      </c>
      <c r="Q18" s="1">
        <f t="shared" si="3"/>
        <v>315.2240840840841</v>
      </c>
      <c r="R18" s="1">
        <f t="shared" si="7"/>
        <v>1928.535921921922</v>
      </c>
      <c r="S18" s="1">
        <f t="shared" si="4"/>
        <v>131212.02499999999</v>
      </c>
      <c r="T18" s="1">
        <f t="shared" si="5"/>
        <v>0.42079696417499995</v>
      </c>
    </row>
    <row r="19" spans="7:24" x14ac:dyDescent="0.25">
      <c r="G19" s="1">
        <v>14.000000000000099</v>
      </c>
      <c r="H19" s="1">
        <v>0.25</v>
      </c>
      <c r="I19" s="8">
        <v>0</v>
      </c>
      <c r="J19" s="1">
        <v>0</v>
      </c>
      <c r="K19" s="1">
        <v>0</v>
      </c>
      <c r="L19" s="1">
        <v>0</v>
      </c>
      <c r="M19" s="1">
        <f t="shared" si="0"/>
        <v>100</v>
      </c>
      <c r="N19" s="1">
        <f t="shared" si="1"/>
        <v>0</v>
      </c>
      <c r="O19" s="1">
        <v>0</v>
      </c>
      <c r="P19" s="1">
        <f t="shared" si="2"/>
        <v>0</v>
      </c>
      <c r="Q19" s="1">
        <f t="shared" si="3"/>
        <v>0</v>
      </c>
      <c r="R19" s="1">
        <f t="shared" si="7"/>
        <v>1928.535921921922</v>
      </c>
      <c r="S19" s="1">
        <f t="shared" si="4"/>
        <v>0</v>
      </c>
      <c r="T19" s="1">
        <f t="shared" si="5"/>
        <v>0</v>
      </c>
    </row>
    <row r="20" spans="7:24" x14ac:dyDescent="0.25">
      <c r="G20" s="1">
        <v>14.500000000000099</v>
      </c>
      <c r="H20" s="1">
        <v>0.25</v>
      </c>
      <c r="I20" s="8">
        <v>0</v>
      </c>
      <c r="J20" s="1">
        <v>0</v>
      </c>
      <c r="K20" s="1">
        <v>0</v>
      </c>
      <c r="L20" s="1">
        <v>0</v>
      </c>
      <c r="M20" s="1">
        <f t="shared" si="0"/>
        <v>100</v>
      </c>
      <c r="N20" s="1">
        <f t="shared" si="1"/>
        <v>0</v>
      </c>
      <c r="O20" s="1">
        <v>0</v>
      </c>
      <c r="P20" s="1">
        <f t="shared" si="2"/>
        <v>0</v>
      </c>
      <c r="Q20" s="1">
        <f t="shared" si="3"/>
        <v>0</v>
      </c>
      <c r="R20" s="1">
        <f t="shared" si="7"/>
        <v>1928.535921921922</v>
      </c>
      <c r="S20" s="1">
        <f t="shared" si="4"/>
        <v>0</v>
      </c>
      <c r="T20" s="1">
        <f t="shared" si="5"/>
        <v>0</v>
      </c>
    </row>
    <row r="21" spans="7:24" ht="15.75" customHeight="1" x14ac:dyDescent="0.25">
      <c r="G21" s="1">
        <v>15.000000000000099</v>
      </c>
      <c r="H21" s="1">
        <v>0.15</v>
      </c>
      <c r="I21" s="8">
        <v>0</v>
      </c>
      <c r="J21" s="1">
        <v>0</v>
      </c>
      <c r="K21" s="1">
        <v>0</v>
      </c>
      <c r="L21" s="1">
        <v>0</v>
      </c>
      <c r="M21" s="1">
        <f t="shared" si="0"/>
        <v>100</v>
      </c>
      <c r="N21" s="1">
        <f t="shared" si="1"/>
        <v>0</v>
      </c>
      <c r="O21" s="1">
        <v>0</v>
      </c>
      <c r="P21" s="1">
        <f t="shared" si="2"/>
        <v>0</v>
      </c>
      <c r="Q21" s="1">
        <f t="shared" si="3"/>
        <v>0</v>
      </c>
      <c r="R21" s="1">
        <f t="shared" si="7"/>
        <v>1928.535921921922</v>
      </c>
      <c r="S21" s="1">
        <f t="shared" si="4"/>
        <v>0</v>
      </c>
      <c r="T21" s="1">
        <f t="shared" si="5"/>
        <v>0</v>
      </c>
    </row>
    <row r="22" spans="7:24" ht="15.75" customHeight="1" x14ac:dyDescent="0.25">
      <c r="G22" s="1">
        <v>15.500000000000099</v>
      </c>
      <c r="H22" s="1">
        <v>0.15</v>
      </c>
      <c r="I22" s="8">
        <v>0</v>
      </c>
      <c r="J22" s="1">
        <v>0</v>
      </c>
      <c r="K22" s="1">
        <v>0</v>
      </c>
      <c r="L22" s="1">
        <v>0</v>
      </c>
      <c r="M22" s="1">
        <f t="shared" si="0"/>
        <v>100</v>
      </c>
      <c r="N22" s="1">
        <f t="shared" si="1"/>
        <v>0</v>
      </c>
      <c r="O22" s="1">
        <v>0</v>
      </c>
      <c r="P22" s="1">
        <f t="shared" si="2"/>
        <v>0</v>
      </c>
      <c r="Q22" s="1">
        <f t="shared" si="3"/>
        <v>0</v>
      </c>
      <c r="R22" s="1">
        <f t="shared" si="7"/>
        <v>1928.535921921922</v>
      </c>
      <c r="S22" s="1">
        <f t="shared" si="4"/>
        <v>0</v>
      </c>
      <c r="T22" s="1">
        <f t="shared" si="5"/>
        <v>0</v>
      </c>
    </row>
    <row r="23" spans="7:24" ht="15.75" customHeight="1" x14ac:dyDescent="0.25">
      <c r="G23" s="1">
        <v>16.000000000000099</v>
      </c>
      <c r="H23" s="1">
        <v>0.1</v>
      </c>
      <c r="I23" s="8">
        <v>0</v>
      </c>
      <c r="J23" s="1">
        <v>0</v>
      </c>
      <c r="K23" s="1">
        <v>0</v>
      </c>
      <c r="L23" s="1">
        <v>0</v>
      </c>
      <c r="M23" s="1">
        <f t="shared" si="0"/>
        <v>100</v>
      </c>
      <c r="N23" s="1">
        <f t="shared" si="1"/>
        <v>0</v>
      </c>
      <c r="O23" s="1">
        <v>0</v>
      </c>
      <c r="P23" s="1">
        <f t="shared" si="2"/>
        <v>0</v>
      </c>
      <c r="Q23" s="1">
        <f t="shared" si="3"/>
        <v>0</v>
      </c>
      <c r="R23" s="1">
        <f t="shared" si="7"/>
        <v>1928.535921921922</v>
      </c>
      <c r="S23" s="1">
        <f t="shared" si="4"/>
        <v>0</v>
      </c>
      <c r="T23" s="1">
        <f t="shared" si="5"/>
        <v>0</v>
      </c>
    </row>
    <row r="24" spans="7:24" ht="15.75" customHeight="1" x14ac:dyDescent="0.25">
      <c r="G24" s="1">
        <v>16.500000000000099</v>
      </c>
      <c r="H24" s="1">
        <v>0.1</v>
      </c>
      <c r="I24" s="8">
        <v>0</v>
      </c>
      <c r="J24" s="1">
        <v>0</v>
      </c>
      <c r="K24" s="1">
        <v>0</v>
      </c>
      <c r="L24" s="1">
        <v>0</v>
      </c>
      <c r="M24" s="1">
        <f t="shared" si="0"/>
        <v>100</v>
      </c>
      <c r="N24" s="1">
        <f t="shared" si="1"/>
        <v>0</v>
      </c>
      <c r="O24" s="1">
        <v>0</v>
      </c>
      <c r="P24" s="1">
        <f t="shared" si="2"/>
        <v>0</v>
      </c>
      <c r="Q24" s="1">
        <f t="shared" si="3"/>
        <v>0</v>
      </c>
      <c r="R24" s="1">
        <f t="shared" si="7"/>
        <v>1928.535921921922</v>
      </c>
      <c r="S24" s="1">
        <f t="shared" si="4"/>
        <v>0</v>
      </c>
      <c r="T24" s="1">
        <f t="shared" si="5"/>
        <v>0</v>
      </c>
      <c r="V24" s="1" t="s">
        <v>19</v>
      </c>
      <c r="W24" s="1" t="s">
        <v>20</v>
      </c>
      <c r="X24" s="1" t="s">
        <v>21</v>
      </c>
    </row>
    <row r="25" spans="7:24" ht="15.75" customHeight="1" x14ac:dyDescent="0.25">
      <c r="G25" s="1">
        <v>17.000000000000099</v>
      </c>
      <c r="H25" s="1">
        <v>0.05</v>
      </c>
      <c r="I25" s="8">
        <v>0</v>
      </c>
      <c r="J25" s="1">
        <v>0</v>
      </c>
      <c r="K25" s="1">
        <v>0</v>
      </c>
      <c r="L25" s="1">
        <v>0</v>
      </c>
      <c r="M25" s="1">
        <f t="shared" si="0"/>
        <v>100</v>
      </c>
      <c r="N25" s="1">
        <f t="shared" si="1"/>
        <v>0</v>
      </c>
      <c r="O25" s="1">
        <v>0</v>
      </c>
      <c r="P25" s="1">
        <f t="shared" si="2"/>
        <v>0</v>
      </c>
      <c r="Q25" s="1">
        <f t="shared" si="3"/>
        <v>0</v>
      </c>
      <c r="R25" s="1">
        <f t="shared" si="7"/>
        <v>1928.535921921922</v>
      </c>
      <c r="S25" s="1">
        <f t="shared" si="4"/>
        <v>0</v>
      </c>
      <c r="T25" s="1">
        <f t="shared" si="5"/>
        <v>0</v>
      </c>
      <c r="V25" s="15" t="s">
        <v>33</v>
      </c>
      <c r="W25" s="2">
        <f>(Q8+Q9+Q10+Q11+Q12+Q19+Q21+Q20+Q22+Q23+Q24+Q25+Q26)*0.5</f>
        <v>0</v>
      </c>
      <c r="X25" s="1">
        <f>(T8+T9+T10+T11+T12+T19+T20+T21+T22+T23+T24+T25+T26)</f>
        <v>0</v>
      </c>
    </row>
    <row r="26" spans="7:24" ht="15.75" customHeight="1" x14ac:dyDescent="0.25">
      <c r="G26" s="1">
        <v>17.500000000000099</v>
      </c>
      <c r="H26" s="1">
        <v>0.05</v>
      </c>
      <c r="I26" s="8">
        <v>0</v>
      </c>
      <c r="J26" s="1">
        <v>0</v>
      </c>
      <c r="K26" s="1">
        <v>0</v>
      </c>
      <c r="L26" s="1">
        <v>0</v>
      </c>
      <c r="M26" s="1">
        <f t="shared" si="0"/>
        <v>100</v>
      </c>
      <c r="N26" s="1">
        <f t="shared" si="1"/>
        <v>0</v>
      </c>
      <c r="O26" s="1">
        <v>0</v>
      </c>
      <c r="P26" s="1">
        <f t="shared" si="2"/>
        <v>0</v>
      </c>
      <c r="Q26" s="1">
        <f t="shared" si="3"/>
        <v>0</v>
      </c>
      <c r="R26" s="1">
        <f t="shared" si="7"/>
        <v>1928.535921921922</v>
      </c>
      <c r="S26" s="1">
        <f t="shared" si="4"/>
        <v>0</v>
      </c>
      <c r="T26" s="1">
        <f t="shared" si="5"/>
        <v>0</v>
      </c>
      <c r="V26" s="15" t="s">
        <v>34</v>
      </c>
      <c r="W26" s="2">
        <f>(Q13+Q14+Q16+Q17+Q18)*0.5</f>
        <v>1020.1133993993994</v>
      </c>
      <c r="X26" s="1">
        <f>(T13+T14+T16+T17+T18+0)</f>
        <v>2.7235268068349998</v>
      </c>
    </row>
    <row r="27" spans="7:24" ht="15.75" customHeight="1" x14ac:dyDescent="0.25">
      <c r="G27" s="1">
        <v>18.000000000000099</v>
      </c>
      <c r="H27" s="1">
        <v>0</v>
      </c>
      <c r="I27" s="1">
        <f t="shared" si="6"/>
        <v>0</v>
      </c>
      <c r="J27" s="1">
        <v>0</v>
      </c>
      <c r="L27" s="1">
        <v>0</v>
      </c>
      <c r="M27" s="1">
        <f t="shared" si="0"/>
        <v>100</v>
      </c>
      <c r="N27" s="1">
        <f t="shared" si="1"/>
        <v>0</v>
      </c>
      <c r="O27" s="1">
        <v>0</v>
      </c>
      <c r="P27" s="1">
        <f t="shared" si="2"/>
        <v>0</v>
      </c>
      <c r="Q27" s="1">
        <f t="shared" si="3"/>
        <v>0</v>
      </c>
      <c r="R27" s="1">
        <f t="shared" si="7"/>
        <v>1928.535921921922</v>
      </c>
      <c r="S27" s="1">
        <f t="shared" si="4"/>
        <v>0</v>
      </c>
      <c r="T27" s="1">
        <f t="shared" si="5"/>
        <v>0</v>
      </c>
      <c r="V27" s="9" t="s">
        <v>27</v>
      </c>
      <c r="W27" s="2">
        <f>(Q15+0)*0.5</f>
        <v>908.42252252252251</v>
      </c>
      <c r="X27" s="1">
        <f>T15</f>
        <v>2.4253314322500001</v>
      </c>
    </row>
    <row r="28" spans="7:24" ht="15.75" customHeight="1" x14ac:dyDescent="0.25">
      <c r="W28" s="2">
        <f t="shared" ref="W28:X28" si="10">SUM(W25:W27)</f>
        <v>1928.535921921922</v>
      </c>
      <c r="X28" s="1">
        <f t="shared" si="10"/>
        <v>5.1488582390849995</v>
      </c>
    </row>
    <row r="29" spans="7:24" ht="15.75" customHeight="1" x14ac:dyDescent="0.25"/>
    <row r="30" spans="7:24" ht="15.75" customHeight="1" x14ac:dyDescent="0.25">
      <c r="V30" s="1" t="s">
        <v>19</v>
      </c>
      <c r="W30" s="1" t="s">
        <v>20</v>
      </c>
      <c r="X30" s="1" t="s">
        <v>21</v>
      </c>
    </row>
    <row r="31" spans="7:24" ht="15.75" customHeight="1" x14ac:dyDescent="0.25">
      <c r="V31" s="15" t="s">
        <v>33</v>
      </c>
      <c r="W31" s="3">
        <f t="shared" ref="W31:W33" si="11">W25/$W$28</f>
        <v>0</v>
      </c>
      <c r="X31" s="3">
        <f t="shared" ref="X31:X33" si="12">X25/$X$28</f>
        <v>0</v>
      </c>
    </row>
    <row r="32" spans="7:24" ht="15.75" customHeight="1" x14ac:dyDescent="0.25">
      <c r="V32" s="15" t="s">
        <v>34</v>
      </c>
      <c r="W32" s="3">
        <f>W26/$W$28</f>
        <v>0.52895742713611704</v>
      </c>
      <c r="X32" s="3">
        <f t="shared" si="12"/>
        <v>0.52895742713611704</v>
      </c>
    </row>
    <row r="33" spans="22:24" ht="15.75" customHeight="1" x14ac:dyDescent="0.25">
      <c r="V33" s="9" t="s">
        <v>27</v>
      </c>
      <c r="W33" s="3">
        <f t="shared" si="11"/>
        <v>0.4710425728638829</v>
      </c>
      <c r="X33" s="3">
        <f t="shared" si="12"/>
        <v>0.47104257286388301</v>
      </c>
    </row>
    <row r="34" spans="22:24" ht="15.75" customHeight="1" x14ac:dyDescent="0.25">
      <c r="W34" s="2">
        <f t="shared" ref="W34:X34" si="13">SUM(W31:W33)</f>
        <v>1</v>
      </c>
      <c r="X34" s="3">
        <f t="shared" si="13"/>
        <v>1</v>
      </c>
    </row>
    <row r="35" spans="22:24" ht="15.75" customHeight="1" x14ac:dyDescent="0.25"/>
    <row r="36" spans="22:24" ht="15.75" customHeight="1" x14ac:dyDescent="0.25"/>
    <row r="37" spans="22:24" ht="15.75" customHeight="1" x14ac:dyDescent="0.25"/>
    <row r="38" spans="22:24" ht="15.75" customHeight="1" x14ac:dyDescent="0.25"/>
    <row r="39" spans="22:24" ht="15.75" customHeight="1" x14ac:dyDescent="0.25"/>
    <row r="40" spans="22:24" ht="15.75" customHeight="1" x14ac:dyDescent="0.25"/>
    <row r="41" spans="22:24" ht="15.75" customHeight="1" x14ac:dyDescent="0.25"/>
    <row r="42" spans="22:24" ht="15.75" customHeight="1" x14ac:dyDescent="0.25"/>
    <row r="43" spans="22:24" ht="15.75" customHeight="1" x14ac:dyDescent="0.25"/>
    <row r="44" spans="22:24" ht="15.75" customHeight="1" x14ac:dyDescent="0.25"/>
    <row r="45" spans="22:24" ht="15.75" customHeight="1" x14ac:dyDescent="0.25"/>
    <row r="46" spans="22:24" ht="15.75" customHeight="1" x14ac:dyDescent="0.25"/>
    <row r="47" spans="22:24" ht="15.75" customHeight="1" x14ac:dyDescent="0.25"/>
    <row r="48" spans="22:2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Q1000"/>
  <sheetViews>
    <sheetView tabSelected="1" workbookViewId="0">
      <selection activeCell="P19" sqref="P19:Q22"/>
    </sheetView>
  </sheetViews>
  <sheetFormatPr baseColWidth="10" defaultColWidth="12.5703125" defaultRowHeight="15" customHeight="1" x14ac:dyDescent="0.25"/>
  <cols>
    <col min="1" max="1" width="15.42578125" customWidth="1"/>
    <col min="2" max="2" width="10.5703125" customWidth="1"/>
    <col min="3" max="3" width="18.42578125" bestFit="1" customWidth="1"/>
    <col min="4" max="4" width="19.28515625" bestFit="1" customWidth="1"/>
    <col min="5" max="14" width="10.5703125" customWidth="1"/>
    <col min="15" max="15" width="11.7109375" bestFit="1" customWidth="1"/>
    <col min="16" max="17" width="12.7109375" customWidth="1"/>
    <col min="18" max="30" width="10.5703125" customWidth="1"/>
  </cols>
  <sheetData>
    <row r="3" spans="1:17" x14ac:dyDescent="0.25">
      <c r="A3" s="1" t="s">
        <v>1</v>
      </c>
      <c r="B3" s="1" t="s">
        <v>2</v>
      </c>
      <c r="C3" s="14" t="s">
        <v>32</v>
      </c>
      <c r="D3" s="14" t="s">
        <v>31</v>
      </c>
      <c r="E3" s="1" t="s">
        <v>3</v>
      </c>
      <c r="F3" s="1" t="s">
        <v>22</v>
      </c>
      <c r="G3" s="1" t="s">
        <v>4</v>
      </c>
      <c r="H3" s="1" t="s">
        <v>6</v>
      </c>
      <c r="I3" s="1" t="s">
        <v>10</v>
      </c>
      <c r="J3" s="1" t="s">
        <v>17</v>
      </c>
      <c r="K3" s="1" t="s">
        <v>18</v>
      </c>
      <c r="L3" s="1" t="s">
        <v>7</v>
      </c>
      <c r="M3" s="1" t="s">
        <v>12</v>
      </c>
      <c r="O3" s="1" t="s">
        <v>23</v>
      </c>
      <c r="P3" s="1" t="s">
        <v>24</v>
      </c>
      <c r="Q3" s="1" t="s">
        <v>12</v>
      </c>
    </row>
    <row r="4" spans="1:17" x14ac:dyDescent="0.25">
      <c r="A4" s="1">
        <v>832500</v>
      </c>
      <c r="B4" s="1">
        <v>0.5</v>
      </c>
      <c r="C4" s="1">
        <f>2*217.575</f>
        <v>435.15</v>
      </c>
      <c r="D4" s="1">
        <v>193.864</v>
      </c>
      <c r="E4" s="1">
        <v>8</v>
      </c>
      <c r="F4" s="1">
        <v>0</v>
      </c>
      <c r="G4" s="8">
        <f>2*1825*F4</f>
        <v>0</v>
      </c>
      <c r="H4" s="9">
        <v>0</v>
      </c>
      <c r="I4" s="1">
        <f t="shared" ref="I4:I24" si="0">(G4*H4)/$A$4</f>
        <v>0</v>
      </c>
      <c r="J4" s="1">
        <f t="shared" ref="J4:J24" si="1">I4*1000</f>
        <v>0</v>
      </c>
      <c r="K4" s="1">
        <f>J4*B4</f>
        <v>0</v>
      </c>
      <c r="L4" s="1">
        <v>0</v>
      </c>
      <c r="M4" s="1">
        <f t="shared" ref="M4:M24" si="2">(H4*G4*0.5*3.207)/(1000000)</f>
        <v>0</v>
      </c>
      <c r="O4" s="1">
        <v>0</v>
      </c>
      <c r="P4" s="1">
        <v>0</v>
      </c>
      <c r="Q4" s="1">
        <v>0</v>
      </c>
    </row>
    <row r="5" spans="1:17" x14ac:dyDescent="0.25">
      <c r="E5" s="1">
        <v>8.5</v>
      </c>
      <c r="F5" s="1">
        <v>0.1</v>
      </c>
      <c r="G5" s="8">
        <f>2*1825*F5</f>
        <v>365</v>
      </c>
      <c r="H5" s="1"/>
      <c r="I5" s="1">
        <f>(G5*H5)/$A$4</f>
        <v>0</v>
      </c>
      <c r="J5" s="1">
        <f>I5*1000</f>
        <v>0</v>
      </c>
      <c r="K5" s="1">
        <f t="shared" ref="K5:K24" si="3">J5*$B$4+K4</f>
        <v>0</v>
      </c>
      <c r="L5" s="1">
        <v>0</v>
      </c>
      <c r="M5" s="1">
        <f t="shared" si="2"/>
        <v>0</v>
      </c>
      <c r="O5" s="1">
        <v>160</v>
      </c>
      <c r="P5" s="1">
        <f>J12+J16</f>
        <v>0</v>
      </c>
      <c r="Q5" s="1">
        <f>M12+M16</f>
        <v>0</v>
      </c>
    </row>
    <row r="6" spans="1:17" x14ac:dyDescent="0.25">
      <c r="E6" s="1">
        <v>9</v>
      </c>
      <c r="F6" s="1">
        <v>0.25</v>
      </c>
      <c r="G6" s="8">
        <f t="shared" ref="G6:G24" si="4">2*1825*F6</f>
        <v>912.5</v>
      </c>
      <c r="H6" s="1"/>
      <c r="I6" s="1">
        <f t="shared" si="0"/>
        <v>0</v>
      </c>
      <c r="J6" s="1">
        <f t="shared" si="1"/>
        <v>0</v>
      </c>
      <c r="K6" s="1">
        <f t="shared" si="3"/>
        <v>0</v>
      </c>
      <c r="L6" s="1">
        <v>0</v>
      </c>
      <c r="M6" s="1">
        <f t="shared" si="2"/>
        <v>0</v>
      </c>
      <c r="O6" s="1">
        <v>320</v>
      </c>
      <c r="P6" s="1">
        <f>J5+0</f>
        <v>0</v>
      </c>
      <c r="Q6" s="1">
        <f>M5+0</f>
        <v>0</v>
      </c>
    </row>
    <row r="7" spans="1:17" x14ac:dyDescent="0.25">
      <c r="E7" s="1">
        <v>9.5</v>
      </c>
      <c r="F7" s="1">
        <v>0.4</v>
      </c>
      <c r="G7" s="11">
        <f t="shared" si="4"/>
        <v>1460</v>
      </c>
      <c r="H7" s="1">
        <v>201.215</v>
      </c>
      <c r="I7" s="1">
        <f>(G7*H7)/$A$4</f>
        <v>0.35288156156156159</v>
      </c>
      <c r="J7" s="1">
        <f t="shared" si="1"/>
        <v>352.88156156156157</v>
      </c>
      <c r="K7" s="1">
        <f t="shared" si="3"/>
        <v>176.44078078078078</v>
      </c>
      <c r="L7" s="1">
        <f>100*D4/H7</f>
        <v>96.346693834952674</v>
      </c>
      <c r="M7" s="1">
        <f t="shared" si="2"/>
        <v>0.47106644865000002</v>
      </c>
      <c r="O7" s="1">
        <v>480</v>
      </c>
      <c r="P7" s="1">
        <f>J11+J17</f>
        <v>0</v>
      </c>
      <c r="Q7" s="1">
        <f>M11+M17</f>
        <v>0</v>
      </c>
    </row>
    <row r="8" spans="1:17" x14ac:dyDescent="0.25">
      <c r="E8" s="1">
        <v>10</v>
      </c>
      <c r="F8" s="1">
        <v>0.95</v>
      </c>
      <c r="G8" s="13">
        <f t="shared" si="4"/>
        <v>3467.5</v>
      </c>
      <c r="H8" s="1">
        <v>436.2</v>
      </c>
      <c r="I8" s="1">
        <f t="shared" si="0"/>
        <v>1.8168450450450451</v>
      </c>
      <c r="J8" s="1">
        <f t="shared" si="1"/>
        <v>1816.845045045045</v>
      </c>
      <c r="K8" s="1">
        <f t="shared" si="3"/>
        <v>1084.8633033033034</v>
      </c>
      <c r="L8" s="1">
        <f>100*$C$4/H8</f>
        <v>99.759284731774414</v>
      </c>
      <c r="M8" s="1">
        <f t="shared" si="2"/>
        <v>2.4253314322500001</v>
      </c>
      <c r="O8" s="1">
        <v>800</v>
      </c>
      <c r="P8" s="1">
        <f>J6+J18</f>
        <v>0</v>
      </c>
      <c r="Q8" s="1">
        <f>M6+M18</f>
        <v>0</v>
      </c>
    </row>
    <row r="9" spans="1:17" x14ac:dyDescent="0.25">
      <c r="E9" s="1">
        <v>10.5</v>
      </c>
      <c r="F9" s="1">
        <v>0.75</v>
      </c>
      <c r="G9" s="13">
        <f t="shared" si="4"/>
        <v>2737.5</v>
      </c>
      <c r="H9" s="1">
        <f>2*218.1</f>
        <v>436.2</v>
      </c>
      <c r="I9" s="1">
        <f t="shared" si="0"/>
        <v>1.4343513513513513</v>
      </c>
      <c r="J9" s="1">
        <f t="shared" si="1"/>
        <v>1434.3513513513512</v>
      </c>
      <c r="K9" s="1">
        <f t="shared" si="3"/>
        <v>1802.038978978979</v>
      </c>
      <c r="L9" s="1">
        <f>100*$C$4/H9</f>
        <v>99.759284731774414</v>
      </c>
      <c r="M9" s="1">
        <f t="shared" si="2"/>
        <v>1.9147353412499999</v>
      </c>
      <c r="O9" s="1">
        <v>960</v>
      </c>
      <c r="P9" s="1">
        <f>J23</f>
        <v>276.40693693693697</v>
      </c>
      <c r="Q9" s="1">
        <f>M23</f>
        <v>0.36897942071250001</v>
      </c>
    </row>
    <row r="10" spans="1:17" x14ac:dyDescent="0.25">
      <c r="E10" s="2">
        <v>11</v>
      </c>
      <c r="F10" s="1">
        <v>0.35</v>
      </c>
      <c r="G10" s="11">
        <f t="shared" si="4"/>
        <v>1277.5</v>
      </c>
      <c r="H10" s="1">
        <v>205.42</v>
      </c>
      <c r="I10" s="1">
        <f t="shared" si="0"/>
        <v>0.31522408408408409</v>
      </c>
      <c r="J10" s="1">
        <f t="shared" si="1"/>
        <v>315.2240840840841</v>
      </c>
      <c r="K10" s="1">
        <f t="shared" si="3"/>
        <v>1959.6510210210211</v>
      </c>
      <c r="L10" s="1">
        <f>100*D4/H10</f>
        <v>94.374452341544171</v>
      </c>
      <c r="M10" s="1">
        <f t="shared" si="2"/>
        <v>0.42079696417499995</v>
      </c>
      <c r="O10" s="1">
        <v>1120</v>
      </c>
      <c r="P10" s="1">
        <f>J10+J19</f>
        <v>630.44816816816819</v>
      </c>
      <c r="Q10" s="1">
        <f>M10+M19</f>
        <v>0.84159392834999991</v>
      </c>
    </row>
    <row r="11" spans="1:17" x14ac:dyDescent="0.25">
      <c r="E11" s="4">
        <v>11.5</v>
      </c>
      <c r="F11" s="1">
        <v>0.15</v>
      </c>
      <c r="G11" s="8">
        <f t="shared" si="4"/>
        <v>547.5</v>
      </c>
      <c r="H11" s="1"/>
      <c r="I11" s="1">
        <f t="shared" si="0"/>
        <v>0</v>
      </c>
      <c r="J11" s="1">
        <f t="shared" si="1"/>
        <v>0</v>
      </c>
      <c r="K11" s="1">
        <f t="shared" si="3"/>
        <v>1959.6510210210211</v>
      </c>
      <c r="L11" s="1">
        <v>0</v>
      </c>
      <c r="M11" s="1">
        <f t="shared" si="2"/>
        <v>0</v>
      </c>
      <c r="O11" s="1">
        <v>1280</v>
      </c>
      <c r="P11" s="1">
        <f>J7+0</f>
        <v>352.88156156156157</v>
      </c>
      <c r="Q11" s="1">
        <f>M7+0</f>
        <v>0.47106644865000002</v>
      </c>
    </row>
    <row r="12" spans="1:17" x14ac:dyDescent="0.25">
      <c r="E12" s="2">
        <v>12</v>
      </c>
      <c r="F12" s="1">
        <v>0.05</v>
      </c>
      <c r="G12" s="8">
        <f t="shared" si="4"/>
        <v>182.5</v>
      </c>
      <c r="H12" s="1"/>
      <c r="I12" s="1">
        <f t="shared" si="0"/>
        <v>0</v>
      </c>
      <c r="J12" s="1">
        <f t="shared" si="1"/>
        <v>0</v>
      </c>
      <c r="K12" s="1">
        <f t="shared" si="3"/>
        <v>1959.6510210210211</v>
      </c>
      <c r="L12" s="1">
        <v>0</v>
      </c>
      <c r="M12" s="1">
        <f t="shared" si="2"/>
        <v>0</v>
      </c>
      <c r="O12" s="1">
        <v>1440</v>
      </c>
      <c r="P12" s="1">
        <f>J22</f>
        <v>389.1117027027027</v>
      </c>
      <c r="Q12" s="1">
        <f>M22</f>
        <v>0.51943056222374995</v>
      </c>
    </row>
    <row r="13" spans="1:17" x14ac:dyDescent="0.25">
      <c r="E13" s="4">
        <v>12.5</v>
      </c>
      <c r="F13" s="1">
        <v>0</v>
      </c>
      <c r="G13" s="8">
        <f t="shared" si="4"/>
        <v>0</v>
      </c>
      <c r="H13" s="1"/>
      <c r="I13" s="1">
        <f t="shared" si="0"/>
        <v>0</v>
      </c>
      <c r="J13" s="1">
        <f t="shared" si="1"/>
        <v>0</v>
      </c>
      <c r="K13" s="1">
        <f t="shared" si="3"/>
        <v>1959.6510210210211</v>
      </c>
      <c r="L13" s="1">
        <v>0</v>
      </c>
      <c r="M13" s="1">
        <f t="shared" si="2"/>
        <v>0</v>
      </c>
      <c r="O13" s="1">
        <v>2240</v>
      </c>
      <c r="P13" s="1">
        <f>J21</f>
        <v>1343.0246246246247</v>
      </c>
      <c r="Q13" s="1">
        <f>M21+0</f>
        <v>1.792822038</v>
      </c>
    </row>
    <row r="14" spans="1:17" x14ac:dyDescent="0.25">
      <c r="E14" s="2">
        <v>13</v>
      </c>
      <c r="F14" s="1">
        <v>0</v>
      </c>
      <c r="G14" s="8">
        <f t="shared" si="4"/>
        <v>0</v>
      </c>
      <c r="H14" s="1"/>
      <c r="I14" s="1">
        <f t="shared" si="0"/>
        <v>0</v>
      </c>
      <c r="J14" s="1">
        <f t="shared" si="1"/>
        <v>0</v>
      </c>
      <c r="K14" s="1">
        <f t="shared" si="3"/>
        <v>1959.6510210210211</v>
      </c>
      <c r="L14" s="1">
        <v>0</v>
      </c>
      <c r="M14" s="1">
        <f t="shared" si="2"/>
        <v>0</v>
      </c>
      <c r="O14" s="1">
        <v>2400</v>
      </c>
      <c r="P14" s="1">
        <f>J9</f>
        <v>1434.3513513513512</v>
      </c>
      <c r="Q14" s="1">
        <f>M9</f>
        <v>1.9147353412499999</v>
      </c>
    </row>
    <row r="15" spans="1:17" x14ac:dyDescent="0.25">
      <c r="E15" s="4">
        <v>13.5</v>
      </c>
      <c r="F15" s="1">
        <v>0</v>
      </c>
      <c r="G15" s="8">
        <f t="shared" si="4"/>
        <v>0</v>
      </c>
      <c r="H15" s="1"/>
      <c r="I15" s="1">
        <f t="shared" si="0"/>
        <v>0</v>
      </c>
      <c r="J15" s="1">
        <f t="shared" si="1"/>
        <v>0</v>
      </c>
      <c r="K15" s="1">
        <f t="shared" si="3"/>
        <v>1959.6510210210211</v>
      </c>
      <c r="L15" s="1">
        <v>0</v>
      </c>
      <c r="M15" s="1">
        <f t="shared" si="2"/>
        <v>0</v>
      </c>
      <c r="O15" s="1">
        <v>3040</v>
      </c>
      <c r="P15" s="1">
        <f>J8+J20</f>
        <v>3633.6900900900901</v>
      </c>
      <c r="Q15" s="1">
        <f>M8+M20</f>
        <v>4.8506628645000003</v>
      </c>
    </row>
    <row r="16" spans="1:17" x14ac:dyDescent="0.25">
      <c r="E16" s="2">
        <v>13.995357142857101</v>
      </c>
      <c r="F16" s="1">
        <v>0.05</v>
      </c>
      <c r="G16" s="8">
        <f t="shared" si="4"/>
        <v>182.5</v>
      </c>
      <c r="H16" s="1"/>
      <c r="I16" s="1">
        <f t="shared" si="0"/>
        <v>0</v>
      </c>
      <c r="J16" s="1">
        <f t="shared" si="1"/>
        <v>0</v>
      </c>
      <c r="K16" s="1">
        <f t="shared" si="3"/>
        <v>1959.6510210210211</v>
      </c>
      <c r="L16" s="14">
        <v>0</v>
      </c>
      <c r="M16" s="1">
        <f t="shared" si="2"/>
        <v>0</v>
      </c>
      <c r="P16" s="5">
        <f t="shared" ref="P16:Q16" si="5">SUM(P4:P15)</f>
        <v>8059.9144354354348</v>
      </c>
      <c r="Q16" s="5">
        <f t="shared" si="5"/>
        <v>10.759290603686249</v>
      </c>
    </row>
    <row r="17" spans="5:17" x14ac:dyDescent="0.25">
      <c r="E17" s="4">
        <v>14.5</v>
      </c>
      <c r="F17" s="1">
        <v>0.15</v>
      </c>
      <c r="G17" s="8">
        <f t="shared" si="4"/>
        <v>547.5</v>
      </c>
      <c r="H17" s="1"/>
      <c r="I17" s="1">
        <f t="shared" si="0"/>
        <v>0</v>
      </c>
      <c r="J17" s="1">
        <f t="shared" si="1"/>
        <v>0</v>
      </c>
      <c r="K17" s="1">
        <f t="shared" si="3"/>
        <v>1959.6510210210211</v>
      </c>
      <c r="L17" s="14">
        <v>0</v>
      </c>
      <c r="M17" s="1">
        <f t="shared" si="2"/>
        <v>0</v>
      </c>
    </row>
    <row r="18" spans="5:17" x14ac:dyDescent="0.25">
      <c r="E18" s="2">
        <v>14.994999999999999</v>
      </c>
      <c r="F18" s="1">
        <v>0.25</v>
      </c>
      <c r="G18" s="8">
        <f t="shared" si="4"/>
        <v>912.5</v>
      </c>
      <c r="H18" s="1"/>
      <c r="I18" s="1">
        <f t="shared" si="0"/>
        <v>0</v>
      </c>
      <c r="J18" s="1">
        <f t="shared" si="1"/>
        <v>0</v>
      </c>
      <c r="K18" s="1">
        <f t="shared" si="3"/>
        <v>1959.6510210210211</v>
      </c>
      <c r="L18" s="14">
        <v>0</v>
      </c>
      <c r="M18" s="1">
        <f t="shared" si="2"/>
        <v>0</v>
      </c>
      <c r="O18" s="1" t="s">
        <v>25</v>
      </c>
      <c r="P18" s="1" t="s">
        <v>24</v>
      </c>
      <c r="Q18" s="1" t="s">
        <v>12</v>
      </c>
    </row>
    <row r="19" spans="5:17" x14ac:dyDescent="0.25">
      <c r="E19" s="4">
        <v>15.5</v>
      </c>
      <c r="F19" s="1">
        <v>0.35</v>
      </c>
      <c r="G19" s="11">
        <f t="shared" si="4"/>
        <v>1277.5</v>
      </c>
      <c r="H19" s="1">
        <v>205.42</v>
      </c>
      <c r="I19" s="1">
        <f t="shared" si="0"/>
        <v>0.31522408408408409</v>
      </c>
      <c r="J19" s="1">
        <f t="shared" si="1"/>
        <v>315.2240840840841</v>
      </c>
      <c r="K19" s="1">
        <f t="shared" si="3"/>
        <v>2117.2630630630629</v>
      </c>
      <c r="L19" s="1">
        <f>100*D4/H19</f>
        <v>94.374452341544171</v>
      </c>
      <c r="M19" s="1">
        <f t="shared" si="2"/>
        <v>0.42079696417499995</v>
      </c>
      <c r="O19" s="15" t="s">
        <v>33</v>
      </c>
      <c r="P19" s="18">
        <v>0</v>
      </c>
      <c r="Q19" s="18">
        <v>0</v>
      </c>
    </row>
    <row r="20" spans="5:17" x14ac:dyDescent="0.25">
      <c r="E20" s="2">
        <v>15.9946428571428</v>
      </c>
      <c r="F20" s="1">
        <v>0.95</v>
      </c>
      <c r="G20" s="13">
        <f t="shared" si="4"/>
        <v>3467.5</v>
      </c>
      <c r="H20" s="1">
        <v>436.2</v>
      </c>
      <c r="I20" s="1">
        <f t="shared" si="0"/>
        <v>1.8168450450450451</v>
      </c>
      <c r="J20" s="1">
        <f t="shared" si="1"/>
        <v>1816.845045045045</v>
      </c>
      <c r="K20" s="1">
        <f t="shared" si="3"/>
        <v>3025.6855855855856</v>
      </c>
      <c r="L20" s="1">
        <f>100*$C$4/H20</f>
        <v>99.759284731774414</v>
      </c>
      <c r="M20" s="1">
        <f t="shared" si="2"/>
        <v>2.4253314322500001</v>
      </c>
      <c r="O20" s="15" t="s">
        <v>34</v>
      </c>
      <c r="P20" s="18">
        <f>(J7+J10+J19+J22+J23)*0.5</f>
        <v>824.42418468468475</v>
      </c>
      <c r="Q20" s="18">
        <f>M7+M10+M19+M22+M23</f>
        <v>2.2010703599362498</v>
      </c>
    </row>
    <row r="21" spans="5:17" ht="15.75" customHeight="1" x14ac:dyDescent="0.25">
      <c r="E21" s="4">
        <v>16.5</v>
      </c>
      <c r="F21" s="1">
        <v>0.7</v>
      </c>
      <c r="G21" s="13">
        <f t="shared" si="4"/>
        <v>2555</v>
      </c>
      <c r="H21" s="1">
        <f>2*218.8</f>
        <v>437.6</v>
      </c>
      <c r="I21" s="1">
        <f t="shared" si="0"/>
        <v>1.3430246246246247</v>
      </c>
      <c r="J21" s="1">
        <f t="shared" si="1"/>
        <v>1343.0246246246247</v>
      </c>
      <c r="K21" s="1">
        <f t="shared" si="3"/>
        <v>3697.1978978978977</v>
      </c>
      <c r="L21" s="1">
        <f>100*$C$4/H21</f>
        <v>99.440127970749543</v>
      </c>
      <c r="M21" s="1">
        <f t="shared" si="2"/>
        <v>1.792822038</v>
      </c>
      <c r="O21" s="15" t="s">
        <v>38</v>
      </c>
      <c r="P21" s="18">
        <f>(J8+J9+J20+J21)*0.5</f>
        <v>3205.5330330330326</v>
      </c>
      <c r="Q21" s="18">
        <f>M8+M9+M20+M21</f>
        <v>8.5582202437500001</v>
      </c>
    </row>
    <row r="22" spans="5:17" ht="15.75" customHeight="1" x14ac:dyDescent="0.25">
      <c r="E22" s="2">
        <v>16.994285714285699</v>
      </c>
      <c r="F22" s="1">
        <v>0.45</v>
      </c>
      <c r="G22" s="11">
        <f t="shared" si="4"/>
        <v>1642.5</v>
      </c>
      <c r="H22" s="1">
        <v>197.221</v>
      </c>
      <c r="I22" s="1">
        <f t="shared" si="0"/>
        <v>0.38911170270270268</v>
      </c>
      <c r="J22" s="1">
        <f t="shared" si="1"/>
        <v>389.1117027027027</v>
      </c>
      <c r="K22" s="1">
        <f t="shared" si="3"/>
        <v>3891.7537492492493</v>
      </c>
      <c r="L22" s="1">
        <f>100*D4/H22</f>
        <v>98.297848606385742</v>
      </c>
      <c r="M22" s="1">
        <f t="shared" si="2"/>
        <v>0.51943056222374995</v>
      </c>
      <c r="P22" s="6">
        <f t="shared" ref="P22:Q22" si="6">SUM(P19:P21)</f>
        <v>4029.9572177177174</v>
      </c>
      <c r="Q22" s="6">
        <f t="shared" si="6"/>
        <v>10.759290603686249</v>
      </c>
    </row>
    <row r="23" spans="5:17" ht="15.75" customHeight="1" x14ac:dyDescent="0.25">
      <c r="E23" s="4">
        <v>17.5</v>
      </c>
      <c r="F23" s="1">
        <v>0.3</v>
      </c>
      <c r="G23" s="11">
        <f t="shared" si="4"/>
        <v>1095</v>
      </c>
      <c r="H23" s="1">
        <v>210.14500000000001</v>
      </c>
      <c r="I23" s="1">
        <f t="shared" si="0"/>
        <v>0.27640693693693696</v>
      </c>
      <c r="J23" s="1">
        <f t="shared" si="1"/>
        <v>276.40693693693697</v>
      </c>
      <c r="K23" s="1">
        <f t="shared" si="3"/>
        <v>4029.9572177177179</v>
      </c>
      <c r="L23" s="1">
        <f>100*D4/H23</f>
        <v>92.252492326726781</v>
      </c>
      <c r="M23" s="1">
        <f t="shared" si="2"/>
        <v>0.36897942071250001</v>
      </c>
    </row>
    <row r="24" spans="5:17" ht="15.75" customHeight="1" x14ac:dyDescent="0.25">
      <c r="E24" s="2">
        <v>17.993928571428601</v>
      </c>
      <c r="F24" s="1">
        <v>0</v>
      </c>
      <c r="G24" s="8">
        <f t="shared" si="4"/>
        <v>0</v>
      </c>
      <c r="H24" s="1">
        <v>0</v>
      </c>
      <c r="I24" s="1">
        <f t="shared" si="0"/>
        <v>0</v>
      </c>
      <c r="J24" s="1">
        <f t="shared" si="1"/>
        <v>0</v>
      </c>
      <c r="K24" s="5">
        <f t="shared" si="3"/>
        <v>4029.9572177177179</v>
      </c>
      <c r="L24" s="1">
        <v>0</v>
      </c>
      <c r="M24" s="1">
        <f t="shared" si="2"/>
        <v>0</v>
      </c>
      <c r="O24" s="1" t="s">
        <v>25</v>
      </c>
      <c r="P24" s="15" t="s">
        <v>26</v>
      </c>
      <c r="Q24" s="15" t="s">
        <v>39</v>
      </c>
    </row>
    <row r="25" spans="5:17" ht="15.75" customHeight="1" x14ac:dyDescent="0.25">
      <c r="J25" s="5">
        <f>SUM(J4:J24)</f>
        <v>8059.9144354354357</v>
      </c>
      <c r="M25" s="5">
        <f>SUM(M4:M24)</f>
        <v>10.759290603686251</v>
      </c>
      <c r="O25" s="15" t="s">
        <v>33</v>
      </c>
      <c r="P25" s="16">
        <f t="shared" ref="P25:P27" si="7">P19/$P$22</f>
        <v>0</v>
      </c>
      <c r="Q25" s="16">
        <f t="shared" ref="Q25:Q27" si="8">Q19/$Q$22</f>
        <v>0</v>
      </c>
    </row>
    <row r="26" spans="5:17" ht="15.75" customHeight="1" x14ac:dyDescent="0.25">
      <c r="O26" s="15" t="s">
        <v>34</v>
      </c>
      <c r="P26" s="16">
        <f>P20/$P$22</f>
        <v>0.2045739297330755</v>
      </c>
      <c r="Q26" s="16">
        <f>Q20/$Q$22</f>
        <v>0.20457392973307545</v>
      </c>
    </row>
    <row r="27" spans="5:17" ht="15.75" customHeight="1" x14ac:dyDescent="0.25">
      <c r="O27" s="15" t="s">
        <v>38</v>
      </c>
      <c r="P27" s="16">
        <f t="shared" si="7"/>
        <v>0.79542607026692447</v>
      </c>
      <c r="Q27" s="16">
        <f t="shared" si="8"/>
        <v>0.79542607026692458</v>
      </c>
    </row>
    <row r="28" spans="5:17" ht="15.75" customHeight="1" x14ac:dyDescent="0.25">
      <c r="P28" s="17">
        <f t="shared" ref="P28:Q28" si="9">SUM(P25:P27)</f>
        <v>1</v>
      </c>
      <c r="Q28" s="17">
        <f t="shared" si="9"/>
        <v>1</v>
      </c>
    </row>
    <row r="29" spans="5:17" ht="15.75" customHeight="1" x14ac:dyDescent="0.25"/>
    <row r="30" spans="5:17" ht="15.75" customHeight="1" x14ac:dyDescent="0.25">
      <c r="O30" s="1"/>
      <c r="P30" s="15"/>
      <c r="Q30" s="15"/>
    </row>
    <row r="31" spans="5:17" ht="15.75" customHeight="1" x14ac:dyDescent="0.25">
      <c r="O31" s="15"/>
      <c r="P31" s="2"/>
      <c r="Q31" s="3"/>
    </row>
    <row r="32" spans="5:17" ht="15.75" customHeight="1" x14ac:dyDescent="0.25">
      <c r="O32" s="15"/>
      <c r="P32" s="2"/>
      <c r="Q32" s="3"/>
    </row>
    <row r="33" spans="15:17" ht="15.75" customHeight="1" x14ac:dyDescent="0.25">
      <c r="O33" s="15"/>
      <c r="P33" s="2"/>
      <c r="Q33" s="3"/>
    </row>
    <row r="34" spans="15:17" ht="15.75" customHeight="1" x14ac:dyDescent="0.25">
      <c r="P34" s="6"/>
      <c r="Q34" s="7"/>
    </row>
    <row r="35" spans="15:17" ht="15.75" customHeight="1" x14ac:dyDescent="0.25"/>
    <row r="36" spans="15:17" ht="15.75" customHeight="1" x14ac:dyDescent="0.25"/>
    <row r="37" spans="15:17" ht="15.75" customHeight="1" x14ac:dyDescent="0.25"/>
    <row r="38" spans="15:17" ht="15.75" customHeight="1" x14ac:dyDescent="0.25"/>
    <row r="39" spans="15:17" ht="15.75" customHeight="1" x14ac:dyDescent="0.25"/>
    <row r="40" spans="15:17" ht="15.75" customHeight="1" x14ac:dyDescent="0.25"/>
    <row r="41" spans="15:17" ht="15.75" customHeight="1" x14ac:dyDescent="0.25"/>
    <row r="42" spans="15:17" ht="15.75" customHeight="1" x14ac:dyDescent="0.25"/>
    <row r="43" spans="15:17" ht="15.75" customHeight="1" x14ac:dyDescent="0.25"/>
    <row r="44" spans="15:17" ht="15.75" customHeight="1" x14ac:dyDescent="0.25"/>
    <row r="45" spans="15:17" ht="15.75" customHeight="1" x14ac:dyDescent="0.25"/>
    <row r="46" spans="15:17" ht="15.75" customHeight="1" x14ac:dyDescent="0.25"/>
    <row r="47" spans="15:17" ht="15.75" customHeight="1" x14ac:dyDescent="0.25"/>
    <row r="48" spans="15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30 min_1m</vt:lpstr>
      <vt:lpstr>30 min_2m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</dc:creator>
  <cp:lastModifiedBy>Leonardo Solis Zamora</cp:lastModifiedBy>
  <dcterms:created xsi:type="dcterms:W3CDTF">2024-09-11T14:35:20Z</dcterms:created>
  <dcterms:modified xsi:type="dcterms:W3CDTF">2025-12-22T23:50:49Z</dcterms:modified>
</cp:coreProperties>
</file>