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01_Pnom015\"/>
    </mc:Choice>
  </mc:AlternateContent>
  <xr:revisionPtr revIDLastSave="0" documentId="13_ncr:1_{4C1FDBD3-88C0-4BDD-A241-54F2F6D2AA97}" xr6:coauthVersionLast="47" xr6:coauthVersionMax="47" xr10:uidLastSave="{00000000-0000-0000-0000-000000000000}"/>
  <bookViews>
    <workbookView xWindow="-120" yWindow="-120" windowWidth="20730" windowHeight="11160" xr2:uid="{CC8E70EA-9981-4FE1-9A98-EC6DB5F1210E}"/>
  </bookViews>
  <sheets>
    <sheet name="1_Maneuver" sheetId="1" r:id="rId1"/>
    <sheet name="2_Maneu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H14" i="1"/>
  <c r="G14" i="1"/>
  <c r="G13" i="1"/>
  <c r="H8" i="1"/>
  <c r="G8" i="1"/>
  <c r="H7" i="1"/>
  <c r="G7" i="1"/>
  <c r="K12" i="1"/>
  <c r="K13" i="2" l="1"/>
  <c r="K16" i="1"/>
  <c r="K16" i="2"/>
  <c r="L13" i="2" l="1"/>
  <c r="H13" i="2"/>
  <c r="G13" i="2"/>
  <c r="D13" i="2"/>
  <c r="C13" i="2"/>
  <c r="L12" i="2"/>
  <c r="K12" i="2"/>
  <c r="H12" i="2"/>
  <c r="G12" i="2"/>
  <c r="D12" i="2"/>
  <c r="C12" i="2"/>
  <c r="L11" i="2"/>
  <c r="K11" i="2"/>
  <c r="H11" i="2"/>
  <c r="G11" i="2"/>
  <c r="D11" i="2"/>
  <c r="C11" i="2"/>
  <c r="C14" i="2" s="1"/>
  <c r="L14" i="1"/>
  <c r="L12" i="1"/>
  <c r="L13" i="1"/>
  <c r="L11" i="1"/>
  <c r="K14" i="1"/>
  <c r="K13" i="1"/>
  <c r="K11" i="1"/>
  <c r="H12" i="1"/>
  <c r="H13" i="1"/>
  <c r="H11" i="1"/>
  <c r="G12" i="1"/>
  <c r="G11" i="1"/>
  <c r="D14" i="1"/>
  <c r="D12" i="1"/>
  <c r="D13" i="1"/>
  <c r="D11" i="1"/>
  <c r="C14" i="1"/>
  <c r="C12" i="1"/>
  <c r="C13" i="1"/>
  <c r="C11" i="1"/>
  <c r="L14" i="2" l="1"/>
  <c r="K14" i="2"/>
  <c r="D14" i="2"/>
  <c r="G14" i="2"/>
  <c r="H14" i="2"/>
</calcChain>
</file>

<file path=xl/sharedStrings.xml><?xml version="1.0" encoding="utf-8"?>
<sst xmlns="http://schemas.openxmlformats.org/spreadsheetml/2006/main" count="74" uniqueCount="14">
  <si>
    <t>Pot_acc [kW]</t>
  </si>
  <si>
    <t>Fuel [L]</t>
  </si>
  <si>
    <t xml:space="preserve">Emiss </t>
  </si>
  <si>
    <t>0-1000</t>
  </si>
  <si>
    <t>1000-2000</t>
  </si>
  <si>
    <t>2000-3650</t>
  </si>
  <si>
    <t>Conventional Tug</t>
  </si>
  <si>
    <t>2000-3620</t>
  </si>
  <si>
    <t>Fuel (%)</t>
  </si>
  <si>
    <t>Emiss (%)</t>
  </si>
  <si>
    <t>Comparation</t>
  </si>
  <si>
    <t>Hyb Improvement</t>
  </si>
  <si>
    <t>Hybrid Tug 15% Pnom</t>
  </si>
  <si>
    <t>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</si>
</sst>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0" fontId="0" fillId="0" borderId="0" xfId="0" applyAlignment="1">
      <alignment horizontal="center"/>
    </xf>
    <xf numFmtId="164" fontId="2" fillId="0" borderId="0" xfId="0" applyNumberFormat="1" applyFon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E1CB-682A-45B9-8296-40FE06F59BBE}">
  <dimension ref="B2:L16"/>
  <sheetViews>
    <sheetView tabSelected="1" workbookViewId="0">
      <selection activeCell="H17" sqref="H17"/>
    </sheetView>
  </sheetViews>
  <sheetFormatPr baseColWidth="10" defaultRowHeight="15" x14ac:dyDescent="0.25"/>
  <cols>
    <col min="6" max="6" width="12.140625" bestFit="1" customWidth="1"/>
    <col min="7" max="7" width="12.5703125" bestFit="1" customWidth="1"/>
    <col min="8" max="8" width="11.5703125" bestFit="1" customWidth="1"/>
    <col min="10" max="10" width="17.28515625" bestFit="1" customWidth="1"/>
  </cols>
  <sheetData>
    <row r="2" spans="2:12" x14ac:dyDescent="0.25">
      <c r="B2" s="5" t="s">
        <v>6</v>
      </c>
      <c r="C2" s="5"/>
      <c r="D2" s="5"/>
      <c r="F2" s="5" t="s">
        <v>12</v>
      </c>
      <c r="G2" s="5"/>
      <c r="H2" s="5"/>
    </row>
    <row r="3" spans="2:12" x14ac:dyDescent="0.2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  <c r="K3" s="1"/>
    </row>
    <row r="4" spans="2:12" x14ac:dyDescent="0.25">
      <c r="B4" t="s">
        <v>3</v>
      </c>
      <c r="C4" s="1">
        <v>2096.831831831832</v>
      </c>
      <c r="D4" s="1">
        <v>5.5981792875000007</v>
      </c>
      <c r="F4" t="s">
        <v>3</v>
      </c>
      <c r="G4" s="1">
        <v>476.94210210210207</v>
      </c>
      <c r="H4" s="1">
        <v>1.2733531401</v>
      </c>
      <c r="K4" s="1"/>
    </row>
    <row r="5" spans="2:12" x14ac:dyDescent="0.25">
      <c r="B5" t="s">
        <v>4</v>
      </c>
      <c r="C5" s="1">
        <v>2360.2894894894898</v>
      </c>
      <c r="D5" s="1">
        <v>6.3015657869999995</v>
      </c>
      <c r="F5" t="s">
        <v>4</v>
      </c>
      <c r="G5" s="1">
        <v>1020.1133993993994</v>
      </c>
      <c r="H5" s="1">
        <v>2.7235268068349998</v>
      </c>
    </row>
    <row r="6" spans="2:12" x14ac:dyDescent="0.25">
      <c r="B6" t="s">
        <v>5</v>
      </c>
      <c r="C6" s="1">
        <v>908.42252252252251</v>
      </c>
      <c r="D6" s="1">
        <v>2.4253314322500001</v>
      </c>
      <c r="F6" t="s">
        <v>7</v>
      </c>
      <c r="G6" s="1">
        <v>908.42252252252251</v>
      </c>
      <c r="H6" s="1">
        <v>2.4253314322500001</v>
      </c>
    </row>
    <row r="7" spans="2:12" x14ac:dyDescent="0.25">
      <c r="C7" s="1">
        <v>5365.5438438438441</v>
      </c>
      <c r="D7" s="1">
        <v>14.325076506750001</v>
      </c>
      <c r="F7" t="s">
        <v>13</v>
      </c>
      <c r="G7" s="1">
        <f>C7-SUM(G4:G6)</f>
        <v>2960.0658198198198</v>
      </c>
      <c r="H7" s="1">
        <f>D7-SUM(H4:H6)</f>
        <v>7.9028651275650015</v>
      </c>
    </row>
    <row r="8" spans="2:12" x14ac:dyDescent="0.25">
      <c r="G8" s="6">
        <f>SUM(G4:G7)</f>
        <v>5365.5438438438441</v>
      </c>
      <c r="H8" s="6">
        <f>SUM(H4:H7)</f>
        <v>14.325076506750001</v>
      </c>
    </row>
    <row r="9" spans="2:12" x14ac:dyDescent="0.25">
      <c r="B9" s="5" t="s">
        <v>6</v>
      </c>
      <c r="C9" s="5"/>
      <c r="D9" s="5"/>
      <c r="F9" s="5" t="s">
        <v>12</v>
      </c>
      <c r="G9" s="5"/>
      <c r="H9" s="5"/>
      <c r="J9" s="5" t="s">
        <v>10</v>
      </c>
      <c r="K9" s="5"/>
      <c r="L9" s="5"/>
    </row>
    <row r="10" spans="2:12" x14ac:dyDescent="0.25">
      <c r="B10" t="s">
        <v>0</v>
      </c>
      <c r="C10" t="s">
        <v>8</v>
      </c>
      <c r="D10" t="s">
        <v>9</v>
      </c>
      <c r="F10" t="s">
        <v>0</v>
      </c>
      <c r="G10" t="s">
        <v>8</v>
      </c>
      <c r="H10" t="s">
        <v>9</v>
      </c>
      <c r="J10" t="s">
        <v>0</v>
      </c>
      <c r="K10" t="s">
        <v>8</v>
      </c>
      <c r="L10" t="s">
        <v>9</v>
      </c>
    </row>
    <row r="11" spans="2:12" x14ac:dyDescent="0.25">
      <c r="B11" t="s">
        <v>3</v>
      </c>
      <c r="C11" s="2">
        <f>C4/$C$7</f>
        <v>0.39079576886462902</v>
      </c>
      <c r="D11" s="2">
        <f>D4/$D$7</f>
        <v>0.39079576886462902</v>
      </c>
      <c r="F11" t="s">
        <v>3</v>
      </c>
      <c r="G11" s="2">
        <f>G4/$G$8</f>
        <v>8.8889796818885661E-2</v>
      </c>
      <c r="H11" s="2">
        <f>H4/$H$8</f>
        <v>8.8889796818885661E-2</v>
      </c>
      <c r="J11" t="s">
        <v>3</v>
      </c>
      <c r="K11" s="2">
        <f>G4/$C$7</f>
        <v>8.8889796818885661E-2</v>
      </c>
      <c r="L11" s="2">
        <f>H4/$D$7</f>
        <v>8.8889796818885661E-2</v>
      </c>
    </row>
    <row r="12" spans="2:12" x14ac:dyDescent="0.25">
      <c r="B12" t="s">
        <v>4</v>
      </c>
      <c r="C12" s="2">
        <f t="shared" ref="C12:C13" si="0">C5/$C$7</f>
        <v>0.43989753102056328</v>
      </c>
      <c r="D12" s="2">
        <f t="shared" ref="D12:D13" si="1">D5/$D$7</f>
        <v>0.43989753102056317</v>
      </c>
      <c r="F12" t="s">
        <v>4</v>
      </c>
      <c r="G12" s="2">
        <f>G5/$G$8</f>
        <v>0.1901230199749139</v>
      </c>
      <c r="H12" s="2">
        <f>H5/$H$8</f>
        <v>0.19012301997491388</v>
      </c>
      <c r="J12" t="s">
        <v>4</v>
      </c>
      <c r="K12" s="2">
        <f>G5/$C$7</f>
        <v>0.1901230199749139</v>
      </c>
      <c r="L12" s="2">
        <f t="shared" ref="L12:L13" si="2">H5/$D$7</f>
        <v>0.19012301997491388</v>
      </c>
    </row>
    <row r="13" spans="2:12" x14ac:dyDescent="0.25">
      <c r="B13" t="s">
        <v>5</v>
      </c>
      <c r="C13" s="2">
        <f t="shared" si="0"/>
        <v>0.16930670011480775</v>
      </c>
      <c r="D13" s="2">
        <f t="shared" si="1"/>
        <v>0.16930670011480775</v>
      </c>
      <c r="F13" t="s">
        <v>7</v>
      </c>
      <c r="G13" s="2">
        <f>G6/$G$8</f>
        <v>0.16930670011480775</v>
      </c>
      <c r="H13" s="2">
        <f>H6/$H$8</f>
        <v>0.16930670011480775</v>
      </c>
      <c r="J13" t="s">
        <v>7</v>
      </c>
      <c r="K13" s="2">
        <f t="shared" ref="K13" si="3">G6/$C$7</f>
        <v>0.16930670011480775</v>
      </c>
      <c r="L13" s="2">
        <f t="shared" si="2"/>
        <v>0.16930670011480775</v>
      </c>
    </row>
    <row r="14" spans="2:12" x14ac:dyDescent="0.25">
      <c r="C14" s="2">
        <f>SUM(C11:C13)</f>
        <v>1</v>
      </c>
      <c r="D14" s="2">
        <f>SUM(D11:D13)</f>
        <v>0.99999999999999989</v>
      </c>
      <c r="F14" t="s">
        <v>13</v>
      </c>
      <c r="G14" s="2">
        <f>G7/$G$8</f>
        <v>0.55168048309139261</v>
      </c>
      <c r="H14" s="2">
        <f>H7/$H$8</f>
        <v>0.55168048309139273</v>
      </c>
      <c r="K14" s="2">
        <f>SUM(K11:K13)</f>
        <v>0.44831951690860733</v>
      </c>
      <c r="L14" s="2">
        <f>SUM(L11:L13)</f>
        <v>0.44831951690860727</v>
      </c>
    </row>
    <row r="15" spans="2:12" x14ac:dyDescent="0.25">
      <c r="G15" s="7">
        <f>SUM(G11:G14)</f>
        <v>1</v>
      </c>
      <c r="H15" s="7">
        <f>SUM(H11:H14)</f>
        <v>1</v>
      </c>
    </row>
    <row r="16" spans="2:12" x14ac:dyDescent="0.25">
      <c r="J16" s="3" t="s">
        <v>11</v>
      </c>
      <c r="K16" s="4">
        <f>1-G8/C7</f>
        <v>0</v>
      </c>
    </row>
  </sheetData>
  <mergeCells count="5">
    <mergeCell ref="B2:D2"/>
    <mergeCell ref="F2:H2"/>
    <mergeCell ref="B9:D9"/>
    <mergeCell ref="F9:H9"/>
    <mergeCell ref="J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09A2-A501-41D4-9B3C-7FBDBE908257}">
  <dimension ref="B2:L16"/>
  <sheetViews>
    <sheetView workbookViewId="0">
      <selection activeCell="I32" sqref="I32"/>
    </sheetView>
  </sheetViews>
  <sheetFormatPr baseColWidth="10" defaultRowHeight="15" x14ac:dyDescent="0.25"/>
  <cols>
    <col min="6" max="6" width="12.140625" bestFit="1" customWidth="1"/>
    <col min="7" max="7" width="12.5703125" bestFit="1" customWidth="1"/>
    <col min="8" max="8" width="11.5703125" bestFit="1" customWidth="1"/>
    <col min="10" max="10" width="17.28515625" bestFit="1" customWidth="1"/>
  </cols>
  <sheetData>
    <row r="2" spans="2:12" x14ac:dyDescent="0.25">
      <c r="B2" s="5" t="s">
        <v>6</v>
      </c>
      <c r="C2" s="5"/>
      <c r="D2" s="5"/>
      <c r="F2" s="5" t="s">
        <v>12</v>
      </c>
      <c r="G2" s="5"/>
      <c r="H2" s="5"/>
    </row>
    <row r="3" spans="2:12" x14ac:dyDescent="0.2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</row>
    <row r="4" spans="2:12" x14ac:dyDescent="0.25">
      <c r="B4" t="s">
        <v>3</v>
      </c>
      <c r="C4" s="1">
        <v>1239.8600600600601</v>
      </c>
      <c r="D4" s="1">
        <v>3.3102124845000001</v>
      </c>
      <c r="F4" t="s">
        <v>3</v>
      </c>
      <c r="G4" s="1">
        <v>238.47105105105103</v>
      </c>
      <c r="H4" s="1">
        <v>0.63667657005</v>
      </c>
    </row>
    <row r="5" spans="2:12" x14ac:dyDescent="0.25">
      <c r="B5" t="s">
        <v>4</v>
      </c>
      <c r="C5" s="1">
        <v>1939.1693693693696</v>
      </c>
      <c r="D5" s="1">
        <v>5.1772477094999996</v>
      </c>
      <c r="F5" t="s">
        <v>4</v>
      </c>
      <c r="G5" s="1">
        <v>824.42418468468475</v>
      </c>
      <c r="H5" s="1">
        <v>2.2010703599362498</v>
      </c>
    </row>
    <row r="6" spans="2:12" x14ac:dyDescent="0.25">
      <c r="B6" t="s">
        <v>5</v>
      </c>
      <c r="C6" s="1">
        <v>3205.5330330330335</v>
      </c>
      <c r="D6" s="1">
        <v>8.5582202437500001</v>
      </c>
      <c r="F6" t="s">
        <v>7</v>
      </c>
      <c r="G6" s="1">
        <v>3205.5330330330326</v>
      </c>
      <c r="H6" s="1">
        <v>8.5582202437500001</v>
      </c>
    </row>
    <row r="7" spans="2:12" x14ac:dyDescent="0.25">
      <c r="C7" s="1">
        <v>6384.5624624624634</v>
      </c>
      <c r="D7" s="1">
        <v>17.045680437750001</v>
      </c>
      <c r="G7" s="1">
        <v>4268.4282687687682</v>
      </c>
      <c r="H7" s="1">
        <v>11.395967173736249</v>
      </c>
    </row>
    <row r="9" spans="2:12" x14ac:dyDescent="0.25">
      <c r="B9" s="5" t="s">
        <v>6</v>
      </c>
      <c r="C9" s="5"/>
      <c r="D9" s="5"/>
      <c r="F9" s="5" t="s">
        <v>12</v>
      </c>
      <c r="G9" s="5"/>
      <c r="H9" s="5"/>
      <c r="J9" s="5" t="s">
        <v>10</v>
      </c>
      <c r="K9" s="5"/>
      <c r="L9" s="5"/>
    </row>
    <row r="10" spans="2:12" x14ac:dyDescent="0.25">
      <c r="B10" t="s">
        <v>0</v>
      </c>
      <c r="C10" t="s">
        <v>8</v>
      </c>
      <c r="D10" t="s">
        <v>9</v>
      </c>
      <c r="F10" t="s">
        <v>0</v>
      </c>
      <c r="G10" t="s">
        <v>8</v>
      </c>
      <c r="H10" t="s">
        <v>9</v>
      </c>
      <c r="J10" t="s">
        <v>0</v>
      </c>
      <c r="K10" t="s">
        <v>8</v>
      </c>
      <c r="L10" t="s">
        <v>9</v>
      </c>
    </row>
    <row r="11" spans="2:12" x14ac:dyDescent="0.25">
      <c r="B11" t="s">
        <v>3</v>
      </c>
      <c r="C11" s="2">
        <f>C4/$C$7</f>
        <v>0.1941965588636215</v>
      </c>
      <c r="D11" s="2">
        <f>D4/$D$7</f>
        <v>0.19419655886362153</v>
      </c>
      <c r="F11" t="s">
        <v>3</v>
      </c>
      <c r="G11" s="2">
        <f>G4/$G$7</f>
        <v>5.5868585820194237E-2</v>
      </c>
      <c r="H11" s="2">
        <f>H4/$H$7</f>
        <v>5.5868585820194237E-2</v>
      </c>
      <c r="J11" t="s">
        <v>3</v>
      </c>
      <c r="K11" s="2">
        <f>G4/$C$7</f>
        <v>3.7351197118537557E-2</v>
      </c>
      <c r="L11" s="2">
        <f>H4/$D$7</f>
        <v>3.7351197118537564E-2</v>
      </c>
    </row>
    <row r="12" spans="2:12" x14ac:dyDescent="0.25">
      <c r="B12" t="s">
        <v>4</v>
      </c>
      <c r="C12" s="2">
        <f t="shared" ref="C12:C13" si="0">C5/$C$7</f>
        <v>0.30372784051696017</v>
      </c>
      <c r="D12" s="2">
        <f t="shared" ref="D12:D13" si="1">D5/$D$7</f>
        <v>0.30372784051696017</v>
      </c>
      <c r="F12" t="s">
        <v>4</v>
      </c>
      <c r="G12" s="2">
        <f t="shared" ref="G12:G13" si="2">G5/$G$7</f>
        <v>0.1931446735832088</v>
      </c>
      <c r="H12" s="2">
        <f t="shared" ref="H12:H13" si="3">H5/$H$7</f>
        <v>0.19314467358320875</v>
      </c>
      <c r="J12" t="s">
        <v>4</v>
      </c>
      <c r="K12" s="2">
        <f t="shared" ref="K12" si="4">G5/$C$7</f>
        <v>0.12912774987038225</v>
      </c>
      <c r="L12" s="2">
        <f t="shared" ref="L12:L13" si="5">H5/$D$7</f>
        <v>0.12912774987038225</v>
      </c>
    </row>
    <row r="13" spans="2:12" x14ac:dyDescent="0.25">
      <c r="B13" t="s">
        <v>5</v>
      </c>
      <c r="C13" s="2">
        <f t="shared" si="0"/>
        <v>0.50207560061941825</v>
      </c>
      <c r="D13" s="2">
        <f t="shared" si="1"/>
        <v>0.50207560061941825</v>
      </c>
      <c r="F13" t="s">
        <v>7</v>
      </c>
      <c r="G13" s="2">
        <f t="shared" si="2"/>
        <v>0.75098674059659698</v>
      </c>
      <c r="H13" s="2">
        <f t="shared" si="3"/>
        <v>0.75098674059659709</v>
      </c>
      <c r="J13" t="s">
        <v>7</v>
      </c>
      <c r="K13" s="2">
        <f>G6/$C$7</f>
        <v>0.50207560061941814</v>
      </c>
      <c r="L13" s="2">
        <f t="shared" si="5"/>
        <v>0.50207560061941825</v>
      </c>
    </row>
    <row r="14" spans="2:12" x14ac:dyDescent="0.25">
      <c r="C14" s="2">
        <f>SUM(C11:C13)</f>
        <v>0.99999999999999989</v>
      </c>
      <c r="D14" s="2">
        <f>SUM(D11:D13)</f>
        <v>1</v>
      </c>
      <c r="G14" s="2">
        <f>SUM(G11:G13)</f>
        <v>1</v>
      </c>
      <c r="H14" s="2">
        <f>SUM(H11:H13)</f>
        <v>1</v>
      </c>
      <c r="K14" s="2">
        <f>SUM(K11:K13)</f>
        <v>0.66855454760833788</v>
      </c>
      <c r="L14" s="2">
        <f>SUM(L11:L13)</f>
        <v>0.6685545476083381</v>
      </c>
    </row>
    <row r="16" spans="2:12" x14ac:dyDescent="0.25">
      <c r="J16" s="3" t="s">
        <v>11</v>
      </c>
      <c r="K16" s="4">
        <f>1-G7/C7</f>
        <v>0.33144545239166201</v>
      </c>
    </row>
  </sheetData>
  <mergeCells count="5">
    <mergeCell ref="B2:D2"/>
    <mergeCell ref="F2:H2"/>
    <mergeCell ref="B9:D9"/>
    <mergeCell ref="F9:H9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1_Maneuver</vt:lpstr>
      <vt:lpstr>2_Maneuver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2025-12-22T13:31:08Z</dcterms:created>
  <dcterms:modified xsi:type="dcterms:W3CDTF">2026-01-23T11:02:40Z</dcterms:modified>
</cp:coreProperties>
</file>