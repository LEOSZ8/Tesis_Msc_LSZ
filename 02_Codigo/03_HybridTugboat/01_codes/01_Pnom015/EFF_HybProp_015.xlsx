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3_HybridTugboat\01_codes\01_Pnom015\"/>
    </mc:Choice>
  </mc:AlternateContent>
  <xr:revisionPtr revIDLastSave="0" documentId="13_ncr:1_{EB8F28A7-CC89-4F0C-AE60-B117B305385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30 min_1m" sheetId="4" r:id="rId1"/>
    <sheet name="30 min_2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B7NYoo45u4/amyriYxtDfPcdd//nPkQoi5t7+CEUi0="/>
    </ext>
  </extLst>
</workbook>
</file>

<file path=xl/calcChain.xml><?xml version="1.0" encoding="utf-8"?>
<calcChain xmlns="http://schemas.openxmlformats.org/spreadsheetml/2006/main">
  <c r="S27" i="4" l="1"/>
  <c r="R27" i="4"/>
  <c r="R26" i="4"/>
  <c r="S25" i="4"/>
  <c r="R25" i="4"/>
  <c r="Q19" i="5"/>
  <c r="Q20" i="5"/>
  <c r="P22" i="5"/>
  <c r="P20" i="5"/>
  <c r="P19" i="5"/>
  <c r="L18" i="5"/>
  <c r="L6" i="5"/>
  <c r="L7" i="5"/>
  <c r="K6" i="5"/>
  <c r="J6" i="5"/>
  <c r="I6" i="5"/>
  <c r="K20" i="4"/>
  <c r="K19" i="4"/>
  <c r="K12" i="4"/>
  <c r="K11" i="4"/>
  <c r="I12" i="4"/>
  <c r="I11" i="4"/>
  <c r="O11" i="4" s="1"/>
  <c r="I20" i="4"/>
  <c r="I19" i="4"/>
  <c r="I18" i="4"/>
  <c r="P21" i="5"/>
  <c r="L23" i="5"/>
  <c r="L20" i="5"/>
  <c r="L19" i="5"/>
  <c r="K16" i="4"/>
  <c r="Q21" i="5"/>
  <c r="L22" i="5"/>
  <c r="L10" i="5"/>
  <c r="C4" i="5"/>
  <c r="L8" i="5" s="1"/>
  <c r="G5" i="5"/>
  <c r="K17" i="4"/>
  <c r="K14" i="4"/>
  <c r="J18" i="4"/>
  <c r="K18" i="4" s="1"/>
  <c r="J13" i="4"/>
  <c r="K13" i="4" s="1"/>
  <c r="I13" i="4" l="1"/>
  <c r="O13" i="4" s="1"/>
  <c r="O9" i="4"/>
  <c r="B7" i="4"/>
  <c r="H21" i="5"/>
  <c r="H9" i="5"/>
  <c r="I5" i="5"/>
  <c r="J5" i="5" s="1"/>
  <c r="J15" i="4"/>
  <c r="C7" i="4"/>
  <c r="K15" i="4" s="1"/>
  <c r="G6" i="5"/>
  <c r="G7" i="5"/>
  <c r="I7" i="5" s="1"/>
  <c r="J7" i="5" s="1"/>
  <c r="G8" i="5"/>
  <c r="G9" i="5"/>
  <c r="I9" i="5" s="1"/>
  <c r="J9" i="5" s="1"/>
  <c r="G10" i="5"/>
  <c r="M10" i="5" s="1"/>
  <c r="G11" i="5"/>
  <c r="I11" i="5" s="1"/>
  <c r="J11" i="5" s="1"/>
  <c r="G12" i="5"/>
  <c r="I12" i="5" s="1"/>
  <c r="J12" i="5" s="1"/>
  <c r="G13" i="5"/>
  <c r="G14" i="5"/>
  <c r="I14" i="5" s="1"/>
  <c r="J14" i="5" s="1"/>
  <c r="G15" i="5"/>
  <c r="G16" i="5"/>
  <c r="I16" i="5" s="1"/>
  <c r="J16" i="5" s="1"/>
  <c r="G17" i="5"/>
  <c r="I17" i="5" s="1"/>
  <c r="J17" i="5" s="1"/>
  <c r="G18" i="5"/>
  <c r="G19" i="5"/>
  <c r="M19" i="5" s="1"/>
  <c r="G20" i="5"/>
  <c r="I20" i="5" s="1"/>
  <c r="J20" i="5" s="1"/>
  <c r="G21" i="5"/>
  <c r="I21" i="5" s="1"/>
  <c r="J21" i="5" s="1"/>
  <c r="G22" i="5"/>
  <c r="M22" i="5" s="1"/>
  <c r="G23" i="5"/>
  <c r="G24" i="5"/>
  <c r="I24" i="5" s="1"/>
  <c r="J24" i="5" s="1"/>
  <c r="G4" i="5"/>
  <c r="I4" i="5" s="1"/>
  <c r="J4" i="5" s="1"/>
  <c r="I8" i="4"/>
  <c r="I14" i="4"/>
  <c r="I15" i="4"/>
  <c r="I16" i="4"/>
  <c r="I17" i="4"/>
  <c r="I27" i="4"/>
  <c r="I7" i="4"/>
  <c r="M6" i="5"/>
  <c r="M24" i="5"/>
  <c r="I19" i="5"/>
  <c r="J19" i="5" s="1"/>
  <c r="M18" i="5"/>
  <c r="M12" i="5"/>
  <c r="I8" i="5"/>
  <c r="J8" i="5" s="1"/>
  <c r="L10" i="4" l="1"/>
  <c r="L11" i="4"/>
  <c r="M11" i="4" s="1"/>
  <c r="L8" i="4"/>
  <c r="M8" i="4" s="1"/>
  <c r="O14" i="4"/>
  <c r="O15" i="4"/>
  <c r="I10" i="5"/>
  <c r="J10" i="5" s="1"/>
  <c r="M11" i="5"/>
  <c r="M9" i="5"/>
  <c r="L9" i="5"/>
  <c r="M21" i="5"/>
  <c r="L21" i="5"/>
  <c r="M14" i="5"/>
  <c r="M17" i="5"/>
  <c r="M7" i="5"/>
  <c r="M5" i="5"/>
  <c r="I23" i="5"/>
  <c r="J23" i="5" s="1"/>
  <c r="L24" i="4"/>
  <c r="L17" i="4"/>
  <c r="M17" i="4" s="1"/>
  <c r="L18" i="4"/>
  <c r="M18" i="4" s="1"/>
  <c r="L22" i="4"/>
  <c r="M22" i="4" s="1"/>
  <c r="L7" i="4"/>
  <c r="M7" i="4" s="1"/>
  <c r="N7" i="4" s="1"/>
  <c r="L20" i="4"/>
  <c r="M20" i="4" s="1"/>
  <c r="L25" i="4"/>
  <c r="M25" i="4" s="1"/>
  <c r="L14" i="4"/>
  <c r="M14" i="4" s="1"/>
  <c r="L27" i="4"/>
  <c r="M27" i="4" s="1"/>
  <c r="L21" i="4"/>
  <c r="M21" i="4" s="1"/>
  <c r="L9" i="4"/>
  <c r="M9" i="4" s="1"/>
  <c r="L15" i="4"/>
  <c r="M15" i="4" s="1"/>
  <c r="O18" i="4"/>
  <c r="L26" i="4"/>
  <c r="L13" i="4"/>
  <c r="M13" i="4" s="1"/>
  <c r="L16" i="4"/>
  <c r="M16" i="4" s="1"/>
  <c r="L12" i="4"/>
  <c r="M12" i="4" s="1"/>
  <c r="L23" i="4"/>
  <c r="M23" i="4" s="1"/>
  <c r="L19" i="4"/>
  <c r="M19" i="4" s="1"/>
  <c r="O22" i="4"/>
  <c r="M23" i="5"/>
  <c r="O17" i="4"/>
  <c r="M8" i="5"/>
  <c r="M16" i="5"/>
  <c r="M20" i="5"/>
  <c r="M4" i="5"/>
  <c r="O7" i="4"/>
  <c r="O27" i="4"/>
  <c r="M24" i="4"/>
  <c r="O23" i="4"/>
  <c r="O19" i="4"/>
  <c r="O12" i="4"/>
  <c r="O10" i="4"/>
  <c r="M10" i="4"/>
  <c r="O8" i="4"/>
  <c r="K4" i="5"/>
  <c r="K5" i="5" s="1"/>
  <c r="O21" i="4"/>
  <c r="O25" i="4"/>
  <c r="O16" i="4"/>
  <c r="O26" i="4"/>
  <c r="M26" i="4"/>
  <c r="I13" i="5"/>
  <c r="J13" i="5" s="1"/>
  <c r="M13" i="5"/>
  <c r="O24" i="4"/>
  <c r="I15" i="5"/>
  <c r="J15" i="5" s="1"/>
  <c r="M15" i="5"/>
  <c r="O20" i="4"/>
  <c r="I22" i="5"/>
  <c r="J22" i="5" s="1"/>
  <c r="I18" i="5"/>
  <c r="J18" i="5" s="1"/>
  <c r="N8" i="4" l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M25" i="5"/>
  <c r="S26" i="4"/>
  <c r="J25" i="5"/>
  <c r="K7" i="5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S28" i="4" l="1"/>
  <c r="S33" i="4" s="1"/>
  <c r="Q22" i="5"/>
  <c r="Q26" i="5" s="1"/>
  <c r="R28" i="4"/>
  <c r="R31" i="4" l="1"/>
  <c r="R32" i="4"/>
  <c r="P27" i="5"/>
  <c r="P26" i="5"/>
  <c r="S32" i="4"/>
  <c r="S31" i="4"/>
  <c r="Q25" i="5"/>
  <c r="Q27" i="5"/>
  <c r="R33" i="4"/>
  <c r="P25" i="5"/>
  <c r="Q28" i="5" l="1"/>
  <c r="S34" i="4"/>
  <c r="R34" i="4"/>
  <c r="P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6" authorId="0" shapeId="0" xr:uid="{2A1AC84E-20EF-4573-A3C3-2D671956E63F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 propulsivo, o sea, se suma el sfc de cada motor.</t>
        </r>
      </text>
    </comment>
    <comment ref="I6" authorId="0" shapeId="0" xr:uid="{22344900-588F-413B-B2A8-531B1E84867A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Potencia de ambos motores diesel.</t>
        </r>
      </text>
    </comment>
    <comment ref="J6" authorId="0" shapeId="0" xr:uid="{D8B8D918-F132-469F-B170-BFA4C9C64DF1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de ambos motores diesel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Solis Zamora</author>
  </authors>
  <commentList>
    <comment ref="C3" authorId="0" shapeId="0" xr:uid="{BB77171A-5F0F-456A-9594-8799DECD47E3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min del sistem propulsivo, o sea, se suma el sfc de cada motor.</t>
        </r>
      </text>
    </comment>
    <comment ref="H3" authorId="0" shapeId="0" xr:uid="{F3E13823-0D1A-4832-9B66-8B6DAEEC1C1D}">
      <text>
        <r>
          <rPr>
            <b/>
            <sz val="9"/>
            <color indexed="81"/>
            <rFont val="Tahoma"/>
            <family val="2"/>
          </rPr>
          <t>Leonardo Solis Zamora:</t>
        </r>
        <r>
          <rPr>
            <sz val="9"/>
            <color indexed="81"/>
            <rFont val="Tahoma"/>
            <family val="2"/>
          </rPr>
          <t xml:space="preserve">
sfc corresponde a la suma de ambos motores.</t>
        </r>
      </text>
    </comment>
  </commentList>
</comments>
</file>

<file path=xl/sharedStrings.xml><?xml version="1.0" encoding="utf-8"?>
<sst xmlns="http://schemas.openxmlformats.org/spreadsheetml/2006/main" count="58" uniqueCount="34">
  <si>
    <t>Densidad [kg/m3]</t>
  </si>
  <si>
    <t>Densidad [g/m3]</t>
  </si>
  <si>
    <t>Use Time</t>
  </si>
  <si>
    <t xml:space="preserve">Time </t>
  </si>
  <si>
    <t>Pot [kW]</t>
  </si>
  <si>
    <t>Pot_nom</t>
  </si>
  <si>
    <t>sfc</t>
  </si>
  <si>
    <t>eff_sfc_rel</t>
  </si>
  <si>
    <t>fuel [m3/h]</t>
  </si>
  <si>
    <t>Emiss</t>
  </si>
  <si>
    <t>eff_sfc_max</t>
  </si>
  <si>
    <t>Emis</t>
  </si>
  <si>
    <t>fuel [L/h]</t>
  </si>
  <si>
    <t>fuel acc [L]</t>
  </si>
  <si>
    <t>Pot_acc [kW]</t>
  </si>
  <si>
    <t>Fuel [L]</t>
  </si>
  <si>
    <t xml:space="preserve">Emiss </t>
  </si>
  <si>
    <t>Pot [%]</t>
  </si>
  <si>
    <t>Fuel</t>
  </si>
  <si>
    <t>Pot acc[kW]</t>
  </si>
  <si>
    <t>Fuel (%)</t>
  </si>
  <si>
    <t>2000-3620</t>
  </si>
  <si>
    <t>Batt</t>
  </si>
  <si>
    <t>Diesel Engine</t>
  </si>
  <si>
    <t>Main GenSet</t>
  </si>
  <si>
    <t>sfc_min_MainGenSet</t>
  </si>
  <si>
    <t>sfc_min_DieselProp</t>
  </si>
  <si>
    <t>0-1000</t>
  </si>
  <si>
    <t>1000-2000</t>
  </si>
  <si>
    <t>0kW-1000kW</t>
  </si>
  <si>
    <t>1000kW-2000kW</t>
  </si>
  <si>
    <t>2000kW-3650kW</t>
  </si>
  <si>
    <t>2000-3650</t>
  </si>
  <si>
    <t>Emiss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</si>
</sst>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1" fontId="6" fillId="0" borderId="0" xfId="0" applyNumberFormat="1" applyFont="1"/>
    <xf numFmtId="9" fontId="6" fillId="0" borderId="0" xfId="0" applyNumberFormat="1" applyFont="1"/>
    <xf numFmtId="2" fontId="6" fillId="0" borderId="0" xfId="0" applyNumberFormat="1" applyFont="1"/>
    <xf numFmtId="0" fontId="7" fillId="0" borderId="0" xfId="0" applyFont="1"/>
    <xf numFmtId="1" fontId="7" fillId="0" borderId="0" xfId="0" applyNumberFormat="1" applyFont="1"/>
    <xf numFmtId="9" fontId="5" fillId="0" borderId="0" xfId="0" applyNumberFormat="1" applyFont="1"/>
    <xf numFmtId="0" fontId="5" fillId="2" borderId="0" xfId="0" applyFont="1" applyFill="1"/>
    <xf numFmtId="0" fontId="4" fillId="0" borderId="0" xfId="0" applyFont="1"/>
    <xf numFmtId="0" fontId="0" fillId="2" borderId="0" xfId="0" applyFill="1"/>
    <xf numFmtId="0" fontId="5" fillId="3" borderId="0" xfId="0" applyFont="1" applyFill="1"/>
    <xf numFmtId="0" fontId="10" fillId="3" borderId="0" xfId="0" applyFont="1" applyFill="1"/>
    <xf numFmtId="0" fontId="10" fillId="4" borderId="0" xfId="0" applyFont="1" applyFill="1"/>
    <xf numFmtId="0" fontId="3" fillId="0" borderId="0" xfId="0" applyFont="1"/>
    <xf numFmtId="0" fontId="2" fillId="0" borderId="0" xfId="0" applyFont="1"/>
    <xf numFmtId="9" fontId="5" fillId="0" borderId="0" xfId="1" applyFont="1"/>
    <xf numFmtId="9" fontId="7" fillId="0" borderId="0" xfId="1" applyFont="1"/>
    <xf numFmtId="1" fontId="5" fillId="0" borderId="0" xfId="0" applyNumberFormat="1" applyFont="1"/>
    <xf numFmtId="2" fontId="5" fillId="0" borderId="0" xfId="0" applyNumberFormat="1" applyFont="1"/>
    <xf numFmtId="2" fontId="7" fillId="0" borderId="0" xfId="0" applyNumberFormat="1" applyFont="1"/>
    <xf numFmtId="9" fontId="6" fillId="0" borderId="0" xfId="1" applyFont="1"/>
    <xf numFmtId="0" fontId="1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opLeftCell="F16" workbookViewId="0">
      <selection activeCell="R25" sqref="R25:S28"/>
    </sheetView>
  </sheetViews>
  <sheetFormatPr baseColWidth="10" defaultColWidth="12.5703125" defaultRowHeight="15" customHeight="1" x14ac:dyDescent="0.25"/>
  <cols>
    <col min="1" max="1" width="16.5703125" customWidth="1"/>
    <col min="2" max="2" width="15.42578125" customWidth="1"/>
    <col min="3" max="3" width="18.42578125" bestFit="1" customWidth="1"/>
    <col min="4" max="4" width="19.28515625" bestFit="1" customWidth="1"/>
    <col min="5" max="5" width="15.42578125" customWidth="1"/>
    <col min="6" max="6" width="10.5703125" customWidth="1"/>
    <col min="7" max="8" width="16.5703125" customWidth="1"/>
    <col min="9" max="11" width="10.5703125" customWidth="1"/>
    <col min="12" max="14" width="15.42578125" customWidth="1"/>
    <col min="15" max="16" width="10.5703125" customWidth="1"/>
    <col min="17" max="17" width="12.140625" customWidth="1"/>
    <col min="18" max="18" width="10.5703125" customWidth="1"/>
    <col min="19" max="19" width="11.7109375" customWidth="1"/>
    <col min="20" max="36" width="10.5703125" customWidth="1"/>
  </cols>
  <sheetData>
    <row r="1" spans="1:15" ht="15" customHeight="1" x14ac:dyDescent="0.25">
      <c r="B1" s="10" t="s">
        <v>29</v>
      </c>
    </row>
    <row r="2" spans="1:15" ht="15" customHeight="1" x14ac:dyDescent="0.25">
      <c r="B2" s="12" t="s">
        <v>30</v>
      </c>
    </row>
    <row r="3" spans="1:15" ht="15" customHeight="1" x14ac:dyDescent="0.25">
      <c r="B3" s="13" t="s">
        <v>31</v>
      </c>
    </row>
    <row r="6" spans="1:15" x14ac:dyDescent="0.25">
      <c r="A6" s="1" t="s">
        <v>0</v>
      </c>
      <c r="B6" s="1" t="s">
        <v>1</v>
      </c>
      <c r="C6" s="14" t="s">
        <v>26</v>
      </c>
      <c r="D6" s="14" t="s">
        <v>25</v>
      </c>
      <c r="E6" s="1" t="s">
        <v>10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12</v>
      </c>
      <c r="N6" s="1" t="s">
        <v>13</v>
      </c>
      <c r="O6" s="1" t="s">
        <v>11</v>
      </c>
    </row>
    <row r="7" spans="1:15" x14ac:dyDescent="0.25">
      <c r="A7" s="1">
        <v>832.5</v>
      </c>
      <c r="B7" s="1">
        <f>A7*1000</f>
        <v>832500</v>
      </c>
      <c r="C7" s="1">
        <f>2*217.575</f>
        <v>435.15</v>
      </c>
      <c r="D7" s="1">
        <v>193.864</v>
      </c>
      <c r="E7" s="1">
        <v>1</v>
      </c>
      <c r="F7" s="1">
        <v>0.5</v>
      </c>
      <c r="G7" s="1">
        <v>8</v>
      </c>
      <c r="H7" s="1">
        <v>0</v>
      </c>
      <c r="I7" s="1">
        <f>2*1825*H7</f>
        <v>0</v>
      </c>
      <c r="J7" s="9">
        <v>0</v>
      </c>
      <c r="K7" s="1">
        <v>0</v>
      </c>
      <c r="L7" s="1">
        <f t="shared" ref="L7:L27" si="0">(I7*J7)/$B$7</f>
        <v>0</v>
      </c>
      <c r="M7" s="1">
        <f t="shared" ref="M7:M27" si="1">L7*1000</f>
        <v>0</v>
      </c>
      <c r="N7" s="1">
        <f>M7*F7</f>
        <v>0</v>
      </c>
      <c r="O7" s="1">
        <f t="shared" ref="O7:O27" si="2">(J7*I7*0.5*3.207)/1000000</f>
        <v>0</v>
      </c>
    </row>
    <row r="8" spans="1:15" x14ac:dyDescent="0.25">
      <c r="G8" s="1">
        <v>8.5000000000000107</v>
      </c>
      <c r="H8" s="1">
        <v>0</v>
      </c>
      <c r="I8" s="1">
        <f t="shared" ref="I8:I27" si="3">2*1825*H8</f>
        <v>0</v>
      </c>
      <c r="J8" s="1">
        <v>0</v>
      </c>
      <c r="K8" s="1">
        <v>0</v>
      </c>
      <c r="L8" s="1">
        <f t="shared" si="0"/>
        <v>0</v>
      </c>
      <c r="M8" s="1">
        <f t="shared" si="1"/>
        <v>0</v>
      </c>
      <c r="N8" s="1">
        <f t="shared" ref="N8:N27" si="4">M8*$F$7+N7</f>
        <v>0</v>
      </c>
      <c r="O8" s="1">
        <f t="shared" si="2"/>
        <v>0</v>
      </c>
    </row>
    <row r="9" spans="1:15" x14ac:dyDescent="0.25">
      <c r="G9" s="1">
        <v>9.0000000000000107</v>
      </c>
      <c r="H9" s="1">
        <v>0.05</v>
      </c>
      <c r="I9" s="8">
        <v>0</v>
      </c>
      <c r="J9" s="1">
        <v>0</v>
      </c>
      <c r="K9" s="1">
        <v>0</v>
      </c>
      <c r="L9" s="1">
        <f t="shared" si="0"/>
        <v>0</v>
      </c>
      <c r="M9" s="1">
        <f t="shared" si="1"/>
        <v>0</v>
      </c>
      <c r="N9" s="1">
        <f t="shared" si="4"/>
        <v>0</v>
      </c>
      <c r="O9" s="1">
        <f t="shared" si="2"/>
        <v>0</v>
      </c>
    </row>
    <row r="10" spans="1:15" x14ac:dyDescent="0.25">
      <c r="A10" s="10" t="s">
        <v>22</v>
      </c>
      <c r="G10" s="1">
        <v>9.5000000000000195</v>
      </c>
      <c r="H10" s="1">
        <v>0.05</v>
      </c>
      <c r="I10" s="8">
        <v>0</v>
      </c>
      <c r="J10" s="9">
        <v>0</v>
      </c>
      <c r="K10" s="1">
        <v>0</v>
      </c>
      <c r="L10" s="1">
        <f t="shared" si="0"/>
        <v>0</v>
      </c>
      <c r="M10" s="1">
        <f t="shared" si="1"/>
        <v>0</v>
      </c>
      <c r="N10" s="1">
        <f t="shared" si="4"/>
        <v>0</v>
      </c>
      <c r="O10" s="1">
        <f t="shared" si="2"/>
        <v>0</v>
      </c>
    </row>
    <row r="11" spans="1:15" x14ac:dyDescent="0.25">
      <c r="A11" s="12" t="s">
        <v>24</v>
      </c>
      <c r="G11" s="1">
        <v>10</v>
      </c>
      <c r="H11" s="1">
        <v>0.25</v>
      </c>
      <c r="I11" s="11">
        <f>2*1825*H11</f>
        <v>912.5</v>
      </c>
      <c r="J11" s="1">
        <v>217.56399999999999</v>
      </c>
      <c r="K11" s="1">
        <f>($D$7*100)/J11</f>
        <v>89.106653674321123</v>
      </c>
      <c r="L11" s="1">
        <f t="shared" si="0"/>
        <v>0.23847105105105104</v>
      </c>
      <c r="M11" s="1">
        <f>L11*1000</f>
        <v>238.47105105105103</v>
      </c>
      <c r="N11" s="1">
        <f t="shared" si="4"/>
        <v>119.23552552552552</v>
      </c>
      <c r="O11" s="1">
        <f t="shared" si="2"/>
        <v>0.318338285025</v>
      </c>
    </row>
    <row r="12" spans="1:15" x14ac:dyDescent="0.25">
      <c r="A12" s="13" t="s">
        <v>23</v>
      </c>
      <c r="G12" s="1">
        <v>10.5</v>
      </c>
      <c r="H12" s="1">
        <v>0.25</v>
      </c>
      <c r="I12" s="11">
        <f>2*1825*H12</f>
        <v>912.5</v>
      </c>
      <c r="J12" s="1">
        <v>217.56399999999999</v>
      </c>
      <c r="K12" s="1">
        <f>($D$7*100)/J12</f>
        <v>89.106653674321123</v>
      </c>
      <c r="L12" s="1">
        <f t="shared" si="0"/>
        <v>0.23847105105105104</v>
      </c>
      <c r="M12" s="1">
        <f t="shared" si="1"/>
        <v>238.47105105105103</v>
      </c>
      <c r="N12" s="1">
        <f t="shared" si="4"/>
        <v>238.47105105105103</v>
      </c>
      <c r="O12" s="1">
        <f t="shared" si="2"/>
        <v>0.318338285025</v>
      </c>
    </row>
    <row r="13" spans="1:15" x14ac:dyDescent="0.25">
      <c r="G13" s="1">
        <v>11</v>
      </c>
      <c r="H13" s="1">
        <v>0.35</v>
      </c>
      <c r="I13" s="11">
        <f>2*1825*H13</f>
        <v>1277.5</v>
      </c>
      <c r="J13" s="1">
        <f>205.42</f>
        <v>205.42</v>
      </c>
      <c r="K13" s="1">
        <f>$D$7*100/J13</f>
        <v>94.374452341544171</v>
      </c>
      <c r="L13" s="1">
        <f t="shared" si="0"/>
        <v>0.31522408408408409</v>
      </c>
      <c r="M13" s="1">
        <f t="shared" si="1"/>
        <v>315.2240840840841</v>
      </c>
      <c r="N13" s="1">
        <f t="shared" si="4"/>
        <v>396.08309309309311</v>
      </c>
      <c r="O13" s="1">
        <f t="shared" si="2"/>
        <v>0.42079696417499995</v>
      </c>
    </row>
    <row r="14" spans="1:15" x14ac:dyDescent="0.25">
      <c r="G14" s="1">
        <v>11.5</v>
      </c>
      <c r="H14" s="1">
        <v>0.55000000000000004</v>
      </c>
      <c r="I14" s="11">
        <f t="shared" si="3"/>
        <v>2007.5000000000002</v>
      </c>
      <c r="J14" s="1">
        <v>194.876</v>
      </c>
      <c r="K14" s="1">
        <f>$D$7*100/J14</f>
        <v>99.480695416572601</v>
      </c>
      <c r="L14" s="1">
        <f t="shared" si="0"/>
        <v>0.4699262102102103</v>
      </c>
      <c r="M14" s="1">
        <f t="shared" si="1"/>
        <v>469.92621021021029</v>
      </c>
      <c r="N14" s="1">
        <f t="shared" si="4"/>
        <v>631.04619819819823</v>
      </c>
      <c r="O14" s="1">
        <f t="shared" si="2"/>
        <v>0.62731095949500004</v>
      </c>
    </row>
    <row r="15" spans="1:15" x14ac:dyDescent="0.25">
      <c r="G15" s="1">
        <v>12.000000000000099</v>
      </c>
      <c r="H15" s="1">
        <v>0.95</v>
      </c>
      <c r="I15" s="13">
        <f t="shared" si="3"/>
        <v>3467.5</v>
      </c>
      <c r="J15" s="1">
        <f>2*218.1</f>
        <v>436.2</v>
      </c>
      <c r="K15" s="1">
        <f>$C$7*100/J15</f>
        <v>99.759284731774414</v>
      </c>
      <c r="L15" s="1">
        <f t="shared" si="0"/>
        <v>1.8168450450450451</v>
      </c>
      <c r="M15" s="1">
        <f t="shared" si="1"/>
        <v>1816.845045045045</v>
      </c>
      <c r="N15" s="1">
        <f t="shared" si="4"/>
        <v>1539.4687207207207</v>
      </c>
      <c r="O15" s="1">
        <f t="shared" si="2"/>
        <v>2.4253314322500001</v>
      </c>
    </row>
    <row r="16" spans="1:15" x14ac:dyDescent="0.25">
      <c r="G16" s="1">
        <v>12.500000000000099</v>
      </c>
      <c r="H16" s="1">
        <v>0.55000000000000004</v>
      </c>
      <c r="I16" s="11">
        <f t="shared" si="3"/>
        <v>2007.5000000000002</v>
      </c>
      <c r="J16" s="1">
        <v>194.876</v>
      </c>
      <c r="K16" s="1">
        <f>$D$7*100/J16</f>
        <v>99.480695416572601</v>
      </c>
      <c r="L16" s="1">
        <f t="shared" si="0"/>
        <v>0.4699262102102103</v>
      </c>
      <c r="M16" s="1">
        <f t="shared" si="1"/>
        <v>469.92621021021029</v>
      </c>
      <c r="N16" s="1">
        <f t="shared" si="4"/>
        <v>1774.4318258258259</v>
      </c>
      <c r="O16" s="1">
        <f t="shared" si="2"/>
        <v>0.62731095949500004</v>
      </c>
    </row>
    <row r="17" spans="7:19" x14ac:dyDescent="0.25">
      <c r="G17" s="1">
        <v>13.000000000000099</v>
      </c>
      <c r="H17" s="1">
        <v>0.55000000000000004</v>
      </c>
      <c r="I17" s="11">
        <f t="shared" si="3"/>
        <v>2007.5000000000002</v>
      </c>
      <c r="J17" s="1">
        <v>194.876</v>
      </c>
      <c r="K17" s="1">
        <f>$D$7*100/J17</f>
        <v>99.480695416572601</v>
      </c>
      <c r="L17" s="1">
        <f t="shared" si="0"/>
        <v>0.4699262102102103</v>
      </c>
      <c r="M17" s="1">
        <f t="shared" si="1"/>
        <v>469.92621021021029</v>
      </c>
      <c r="N17" s="1">
        <f t="shared" si="4"/>
        <v>2009.394930930931</v>
      </c>
      <c r="O17" s="1">
        <f t="shared" si="2"/>
        <v>0.62731095949500004</v>
      </c>
    </row>
    <row r="18" spans="7:19" x14ac:dyDescent="0.25">
      <c r="G18" s="1">
        <v>13.500000000000099</v>
      </c>
      <c r="H18" s="1">
        <v>0.35</v>
      </c>
      <c r="I18" s="11">
        <f>2*1825*H18</f>
        <v>1277.5</v>
      </c>
      <c r="J18" s="1">
        <f>205.42</f>
        <v>205.42</v>
      </c>
      <c r="K18" s="1">
        <f>$D$7*100/J18</f>
        <v>94.374452341544171</v>
      </c>
      <c r="L18" s="1">
        <f t="shared" si="0"/>
        <v>0.31522408408408409</v>
      </c>
      <c r="M18" s="1">
        <f t="shared" si="1"/>
        <v>315.2240840840841</v>
      </c>
      <c r="N18" s="1">
        <f t="shared" si="4"/>
        <v>2167.006972972973</v>
      </c>
      <c r="O18" s="1">
        <f t="shared" si="2"/>
        <v>0.42079696417499995</v>
      </c>
    </row>
    <row r="19" spans="7:19" x14ac:dyDescent="0.25">
      <c r="G19" s="1">
        <v>14.000000000000099</v>
      </c>
      <c r="H19" s="1">
        <v>0.25</v>
      </c>
      <c r="I19" s="11">
        <f>2*1825*H19</f>
        <v>912.5</v>
      </c>
      <c r="J19" s="1">
        <v>217.56399999999999</v>
      </c>
      <c r="K19" s="1">
        <f>($D$7*100)/J19</f>
        <v>89.106653674321123</v>
      </c>
      <c r="L19" s="1">
        <f t="shared" si="0"/>
        <v>0.23847105105105104</v>
      </c>
      <c r="M19" s="1">
        <f t="shared" si="1"/>
        <v>238.47105105105103</v>
      </c>
      <c r="N19" s="1">
        <f t="shared" si="4"/>
        <v>2286.2424984984987</v>
      </c>
      <c r="O19" s="1">
        <f t="shared" si="2"/>
        <v>0.318338285025</v>
      </c>
    </row>
    <row r="20" spans="7:19" x14ac:dyDescent="0.25">
      <c r="G20" s="1">
        <v>14.500000000000099</v>
      </c>
      <c r="H20" s="1">
        <v>0.25</v>
      </c>
      <c r="I20" s="11">
        <f>2*1825*H20</f>
        <v>912.5</v>
      </c>
      <c r="J20" s="1">
        <v>217.56399999999999</v>
      </c>
      <c r="K20" s="1">
        <f>($D$7*100)/J20</f>
        <v>89.106653674321123</v>
      </c>
      <c r="L20" s="1">
        <f t="shared" si="0"/>
        <v>0.23847105105105104</v>
      </c>
      <c r="M20" s="1">
        <f t="shared" si="1"/>
        <v>238.47105105105103</v>
      </c>
      <c r="N20" s="1">
        <f t="shared" si="4"/>
        <v>2405.4780240240243</v>
      </c>
      <c r="O20" s="1">
        <f t="shared" si="2"/>
        <v>0.318338285025</v>
      </c>
    </row>
    <row r="21" spans="7:19" ht="15.75" customHeight="1" x14ac:dyDescent="0.25">
      <c r="G21" s="1">
        <v>15.000000000000099</v>
      </c>
      <c r="H21" s="1">
        <v>0.15</v>
      </c>
      <c r="I21" s="8">
        <v>0</v>
      </c>
      <c r="J21" s="1">
        <v>0</v>
      </c>
      <c r="K21" s="1">
        <v>0</v>
      </c>
      <c r="L21" s="1">
        <f t="shared" si="0"/>
        <v>0</v>
      </c>
      <c r="M21" s="1">
        <f t="shared" si="1"/>
        <v>0</v>
      </c>
      <c r="N21" s="1">
        <f t="shared" si="4"/>
        <v>2405.4780240240243</v>
      </c>
      <c r="O21" s="1">
        <f t="shared" si="2"/>
        <v>0</v>
      </c>
    </row>
    <row r="22" spans="7:19" ht="15.75" customHeight="1" x14ac:dyDescent="0.25">
      <c r="G22" s="1">
        <v>15.500000000000099</v>
      </c>
      <c r="H22" s="1">
        <v>0.15</v>
      </c>
      <c r="I22" s="8">
        <v>0</v>
      </c>
      <c r="J22" s="1">
        <v>0</v>
      </c>
      <c r="K22" s="1">
        <v>0</v>
      </c>
      <c r="L22" s="1">
        <f t="shared" si="0"/>
        <v>0</v>
      </c>
      <c r="M22" s="1">
        <f t="shared" si="1"/>
        <v>0</v>
      </c>
      <c r="N22" s="1">
        <f t="shared" si="4"/>
        <v>2405.4780240240243</v>
      </c>
      <c r="O22" s="1">
        <f t="shared" si="2"/>
        <v>0</v>
      </c>
    </row>
    <row r="23" spans="7:19" ht="15.75" customHeight="1" x14ac:dyDescent="0.25">
      <c r="G23" s="1">
        <v>16.000000000000099</v>
      </c>
      <c r="H23" s="1">
        <v>0.1</v>
      </c>
      <c r="I23" s="8">
        <v>0</v>
      </c>
      <c r="J23" s="1">
        <v>0</v>
      </c>
      <c r="K23" s="1">
        <v>0</v>
      </c>
      <c r="L23" s="1">
        <f t="shared" si="0"/>
        <v>0</v>
      </c>
      <c r="M23" s="1">
        <f t="shared" si="1"/>
        <v>0</v>
      </c>
      <c r="N23" s="1">
        <f t="shared" si="4"/>
        <v>2405.4780240240243</v>
      </c>
      <c r="O23" s="1">
        <f t="shared" si="2"/>
        <v>0</v>
      </c>
    </row>
    <row r="24" spans="7:19" ht="15.75" customHeight="1" x14ac:dyDescent="0.25">
      <c r="G24" s="1">
        <v>16.500000000000099</v>
      </c>
      <c r="H24" s="1">
        <v>0.1</v>
      </c>
      <c r="I24" s="8">
        <v>0</v>
      </c>
      <c r="J24" s="1">
        <v>0</v>
      </c>
      <c r="K24" s="1">
        <v>0</v>
      </c>
      <c r="L24" s="1">
        <f t="shared" si="0"/>
        <v>0</v>
      </c>
      <c r="M24" s="1">
        <f t="shared" si="1"/>
        <v>0</v>
      </c>
      <c r="N24" s="1">
        <f t="shared" si="4"/>
        <v>2405.4780240240243</v>
      </c>
      <c r="O24" s="1">
        <f t="shared" si="2"/>
        <v>0</v>
      </c>
      <c r="Q24" s="1" t="s">
        <v>14</v>
      </c>
      <c r="R24" s="1" t="s">
        <v>15</v>
      </c>
      <c r="S24" s="1" t="s">
        <v>16</v>
      </c>
    </row>
    <row r="25" spans="7:19" ht="15.75" customHeight="1" x14ac:dyDescent="0.25">
      <c r="G25" s="1">
        <v>17.000000000000099</v>
      </c>
      <c r="H25" s="1">
        <v>0.05</v>
      </c>
      <c r="I25" s="8">
        <v>0</v>
      </c>
      <c r="J25" s="1">
        <v>0</v>
      </c>
      <c r="K25" s="1">
        <v>0</v>
      </c>
      <c r="L25" s="1">
        <f t="shared" si="0"/>
        <v>0</v>
      </c>
      <c r="M25" s="1">
        <f t="shared" si="1"/>
        <v>0</v>
      </c>
      <c r="N25" s="1">
        <f t="shared" si="4"/>
        <v>2405.4780240240243</v>
      </c>
      <c r="O25" s="1">
        <f t="shared" si="2"/>
        <v>0</v>
      </c>
      <c r="Q25" s="15" t="s">
        <v>27</v>
      </c>
      <c r="R25" s="2">
        <f>(M8+M9+M10+M11+M12+M19+M21+M20+M22+M23+M24+M25+M26)*0.5</f>
        <v>476.94210210210207</v>
      </c>
      <c r="S25" s="1">
        <f>(O8+O9+O10+O11+O12+O19+O20+O21+O22+O23+O24+O25+O26)</f>
        <v>1.2733531401</v>
      </c>
    </row>
    <row r="26" spans="7:19" ht="15.75" customHeight="1" x14ac:dyDescent="0.25">
      <c r="G26" s="1">
        <v>17.500000000000099</v>
      </c>
      <c r="H26" s="1">
        <v>0.05</v>
      </c>
      <c r="I26" s="8">
        <v>0</v>
      </c>
      <c r="J26" s="1">
        <v>0</v>
      </c>
      <c r="K26" s="1">
        <v>0</v>
      </c>
      <c r="L26" s="1">
        <f t="shared" si="0"/>
        <v>0</v>
      </c>
      <c r="M26" s="1">
        <f t="shared" si="1"/>
        <v>0</v>
      </c>
      <c r="N26" s="1">
        <f t="shared" si="4"/>
        <v>2405.4780240240243</v>
      </c>
      <c r="O26" s="1">
        <f t="shared" si="2"/>
        <v>0</v>
      </c>
      <c r="Q26" s="15" t="s">
        <v>28</v>
      </c>
      <c r="R26" s="2">
        <f>(M13+M14+M16+M17+M18)*0.5</f>
        <v>1020.1133993993994</v>
      </c>
      <c r="S26" s="1">
        <f>(O13+O14+O16+O17+O18+0)</f>
        <v>2.7235268068349998</v>
      </c>
    </row>
    <row r="27" spans="7:19" ht="15.75" customHeight="1" x14ac:dyDescent="0.25">
      <c r="G27" s="1">
        <v>18.000000000000099</v>
      </c>
      <c r="H27" s="1">
        <v>0</v>
      </c>
      <c r="I27" s="1">
        <f t="shared" si="3"/>
        <v>0</v>
      </c>
      <c r="J27" s="1">
        <v>0</v>
      </c>
      <c r="K27" s="22">
        <v>0</v>
      </c>
      <c r="L27" s="1">
        <f t="shared" si="0"/>
        <v>0</v>
      </c>
      <c r="M27" s="1">
        <f t="shared" si="1"/>
        <v>0</v>
      </c>
      <c r="N27" s="1">
        <f t="shared" si="4"/>
        <v>2405.4780240240243</v>
      </c>
      <c r="O27" s="1">
        <f t="shared" si="2"/>
        <v>0</v>
      </c>
      <c r="Q27" s="9" t="s">
        <v>21</v>
      </c>
      <c r="R27" s="2">
        <f>(M15+0)*0.5</f>
        <v>908.42252252252251</v>
      </c>
      <c r="S27" s="1">
        <f>O15</f>
        <v>2.4253314322500001</v>
      </c>
    </row>
    <row r="28" spans="7:19" ht="15.75" customHeight="1" x14ac:dyDescent="0.25">
      <c r="R28" s="2">
        <f t="shared" ref="R28:S28" si="5">SUM(R25:R27)</f>
        <v>2405.4780240240243</v>
      </c>
      <c r="S28" s="1">
        <f t="shared" si="5"/>
        <v>6.4222113791849997</v>
      </c>
    </row>
    <row r="29" spans="7:19" ht="15.75" customHeight="1" x14ac:dyDescent="0.25"/>
    <row r="30" spans="7:19" ht="15.75" customHeight="1" x14ac:dyDescent="0.25">
      <c r="Q30" s="1" t="s">
        <v>14</v>
      </c>
      <c r="R30" s="1" t="s">
        <v>15</v>
      </c>
      <c r="S30" s="1" t="s">
        <v>16</v>
      </c>
    </row>
    <row r="31" spans="7:19" ht="15.75" customHeight="1" x14ac:dyDescent="0.25">
      <c r="Q31" s="15" t="s">
        <v>27</v>
      </c>
      <c r="R31" s="3">
        <f t="shared" ref="R31:R33" si="6">R25/$R$28</f>
        <v>0.19827331504955736</v>
      </c>
      <c r="S31" s="3">
        <f t="shared" ref="S31:S33" si="7">S25/$S$28</f>
        <v>0.19827331504955739</v>
      </c>
    </row>
    <row r="32" spans="7:19" ht="15.75" customHeight="1" x14ac:dyDescent="0.25">
      <c r="Q32" s="15" t="s">
        <v>28</v>
      </c>
      <c r="R32" s="3">
        <f>R26/$R$28</f>
        <v>0.4240792845377544</v>
      </c>
      <c r="S32" s="3">
        <f t="shared" si="7"/>
        <v>0.42407928453775445</v>
      </c>
    </row>
    <row r="33" spans="17:19" ht="15.75" customHeight="1" x14ac:dyDescent="0.25">
      <c r="Q33" s="9" t="s">
        <v>21</v>
      </c>
      <c r="R33" s="3">
        <f t="shared" si="6"/>
        <v>0.37764740041268813</v>
      </c>
      <c r="S33" s="3">
        <f t="shared" si="7"/>
        <v>0.37764740041268818</v>
      </c>
    </row>
    <row r="34" spans="17:19" ht="15.75" customHeight="1" x14ac:dyDescent="0.25">
      <c r="R34" s="21">
        <f t="shared" ref="R34:S34" si="8">SUM(R31:R33)</f>
        <v>1</v>
      </c>
      <c r="S34" s="3">
        <f t="shared" si="8"/>
        <v>1</v>
      </c>
    </row>
    <row r="35" spans="17:19" ht="15.75" customHeight="1" x14ac:dyDescent="0.25"/>
    <row r="36" spans="17:19" ht="15.75" customHeight="1" x14ac:dyDescent="0.25"/>
    <row r="37" spans="17:19" ht="15.75" customHeight="1" x14ac:dyDescent="0.25"/>
    <row r="38" spans="17:19" ht="15.75" customHeight="1" x14ac:dyDescent="0.25"/>
    <row r="39" spans="17:19" ht="15.75" customHeight="1" x14ac:dyDescent="0.25"/>
    <row r="40" spans="17:19" ht="15.75" customHeight="1" x14ac:dyDescent="0.25"/>
    <row r="41" spans="17:19" ht="15.75" customHeight="1" x14ac:dyDescent="0.25"/>
    <row r="42" spans="17:19" ht="15.75" customHeight="1" x14ac:dyDescent="0.25"/>
    <row r="43" spans="17:19" ht="15.75" customHeight="1" x14ac:dyDescent="0.25"/>
    <row r="44" spans="17:19" ht="15.75" customHeight="1" x14ac:dyDescent="0.25"/>
    <row r="45" spans="17:19" ht="15.75" customHeight="1" x14ac:dyDescent="0.25"/>
    <row r="46" spans="17:19" ht="15.75" customHeight="1" x14ac:dyDescent="0.25"/>
    <row r="47" spans="17:19" ht="15.75" customHeight="1" x14ac:dyDescent="0.25"/>
    <row r="48" spans="17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Q1000"/>
  <sheetViews>
    <sheetView tabSelected="1" topLeftCell="C13" workbookViewId="0">
      <selection activeCell="P14" sqref="P14"/>
    </sheetView>
  </sheetViews>
  <sheetFormatPr baseColWidth="10" defaultColWidth="12.5703125" defaultRowHeight="15" customHeight="1" x14ac:dyDescent="0.25"/>
  <cols>
    <col min="1" max="1" width="15.42578125" customWidth="1"/>
    <col min="2" max="2" width="10.5703125" customWidth="1"/>
    <col min="3" max="3" width="18.42578125" bestFit="1" customWidth="1"/>
    <col min="4" max="4" width="19.28515625" bestFit="1" customWidth="1"/>
    <col min="5" max="14" width="10.5703125" customWidth="1"/>
    <col min="15" max="15" width="11.7109375" bestFit="1" customWidth="1"/>
    <col min="16" max="17" width="12.7109375" customWidth="1"/>
    <col min="18" max="30" width="10.5703125" customWidth="1"/>
  </cols>
  <sheetData>
    <row r="3" spans="1:17" x14ac:dyDescent="0.25">
      <c r="A3" s="1" t="s">
        <v>1</v>
      </c>
      <c r="B3" s="1" t="s">
        <v>2</v>
      </c>
      <c r="C3" s="14" t="s">
        <v>26</v>
      </c>
      <c r="D3" s="14" t="s">
        <v>25</v>
      </c>
      <c r="E3" s="1" t="s">
        <v>3</v>
      </c>
      <c r="F3" s="1" t="s">
        <v>17</v>
      </c>
      <c r="G3" s="1" t="s">
        <v>4</v>
      </c>
      <c r="H3" s="1" t="s">
        <v>6</v>
      </c>
      <c r="I3" s="1" t="s">
        <v>8</v>
      </c>
      <c r="J3" s="1" t="s">
        <v>12</v>
      </c>
      <c r="K3" s="1" t="s">
        <v>13</v>
      </c>
      <c r="L3" s="1" t="s">
        <v>7</v>
      </c>
      <c r="M3" s="1" t="s">
        <v>9</v>
      </c>
      <c r="O3" s="1"/>
      <c r="P3" s="1"/>
      <c r="Q3" s="1"/>
    </row>
    <row r="4" spans="1:17" x14ac:dyDescent="0.25">
      <c r="A4" s="1">
        <v>832500</v>
      </c>
      <c r="B4" s="1">
        <v>0.5</v>
      </c>
      <c r="C4" s="1">
        <f>2*217.575</f>
        <v>435.15</v>
      </c>
      <c r="D4" s="1">
        <v>193.864</v>
      </c>
      <c r="E4" s="1">
        <v>8</v>
      </c>
      <c r="F4" s="1">
        <v>0</v>
      </c>
      <c r="G4" s="8">
        <f>2*1825*F4</f>
        <v>0</v>
      </c>
      <c r="H4" s="9">
        <v>0</v>
      </c>
      <c r="I4" s="1">
        <f t="shared" ref="I4:I24" si="0">(G4*H4)/$A$4</f>
        <v>0</v>
      </c>
      <c r="J4" s="1">
        <f t="shared" ref="J4:J24" si="1">I4*1000</f>
        <v>0</v>
      </c>
      <c r="K4" s="1">
        <f>J4*B4</f>
        <v>0</v>
      </c>
      <c r="L4" s="1">
        <v>0</v>
      </c>
      <c r="M4" s="1">
        <f t="shared" ref="M4:M24" si="2">(H4*G4*0.5*3.207)/(1000000)</f>
        <v>0</v>
      </c>
      <c r="O4" s="1"/>
      <c r="P4" s="1"/>
      <c r="Q4" s="1"/>
    </row>
    <row r="5" spans="1:17" x14ac:dyDescent="0.25">
      <c r="E5" s="1">
        <v>8.5</v>
      </c>
      <c r="F5" s="1">
        <v>0.1</v>
      </c>
      <c r="G5" s="8">
        <f>2*1825*F5</f>
        <v>365</v>
      </c>
      <c r="H5" s="1"/>
      <c r="I5" s="1">
        <f>(G5*H5)/$A$4</f>
        <v>0</v>
      </c>
      <c r="J5" s="1">
        <f>I5*1000</f>
        <v>0</v>
      </c>
      <c r="K5" s="1">
        <f t="shared" ref="K5:K24" si="3">J5*$B$4+K4</f>
        <v>0</v>
      </c>
      <c r="L5" s="1">
        <v>0</v>
      </c>
      <c r="M5" s="1">
        <f t="shared" si="2"/>
        <v>0</v>
      </c>
      <c r="O5" s="1"/>
      <c r="P5" s="1"/>
      <c r="Q5" s="1"/>
    </row>
    <row r="6" spans="1:17" x14ac:dyDescent="0.25">
      <c r="E6" s="1">
        <v>9</v>
      </c>
      <c r="F6" s="1">
        <v>0.25</v>
      </c>
      <c r="G6" s="11">
        <f t="shared" ref="G6:G24" si="4">2*1825*F6</f>
        <v>912.5</v>
      </c>
      <c r="H6" s="1">
        <v>217.56399999999999</v>
      </c>
      <c r="I6" s="1">
        <f>(G6*H6)/$A$4</f>
        <v>0.23847105105105104</v>
      </c>
      <c r="J6" s="1">
        <f>I6*1000</f>
        <v>238.47105105105103</v>
      </c>
      <c r="K6" s="1">
        <f>J6*$B$4+K5</f>
        <v>119.23552552552552</v>
      </c>
      <c r="L6" s="1">
        <f>100*$D$4/H6</f>
        <v>89.106653674321123</v>
      </c>
      <c r="M6" s="1">
        <f t="shared" si="2"/>
        <v>0.318338285025</v>
      </c>
      <c r="O6" s="1"/>
      <c r="P6" s="1"/>
      <c r="Q6" s="1"/>
    </row>
    <row r="7" spans="1:17" x14ac:dyDescent="0.25">
      <c r="E7" s="1">
        <v>9.5</v>
      </c>
      <c r="F7" s="1">
        <v>0.4</v>
      </c>
      <c r="G7" s="11">
        <f t="shared" si="4"/>
        <v>1460</v>
      </c>
      <c r="H7" s="1">
        <v>201.215</v>
      </c>
      <c r="I7" s="1">
        <f>(G7*H7)/$A$4</f>
        <v>0.35288156156156159</v>
      </c>
      <c r="J7" s="1">
        <f t="shared" si="1"/>
        <v>352.88156156156157</v>
      </c>
      <c r="K7" s="1">
        <f t="shared" si="3"/>
        <v>295.67630630630629</v>
      </c>
      <c r="L7" s="1">
        <f>100*$D$4/H7</f>
        <v>96.346693834952674</v>
      </c>
      <c r="M7" s="1">
        <f t="shared" si="2"/>
        <v>0.47106644865000002</v>
      </c>
      <c r="O7" s="1"/>
      <c r="P7" s="1"/>
      <c r="Q7" s="1"/>
    </row>
    <row r="8" spans="1:17" x14ac:dyDescent="0.25">
      <c r="E8" s="1">
        <v>10</v>
      </c>
      <c r="F8" s="1">
        <v>0.95</v>
      </c>
      <c r="G8" s="13">
        <f t="shared" si="4"/>
        <v>3467.5</v>
      </c>
      <c r="H8" s="1">
        <v>436.2</v>
      </c>
      <c r="I8" s="1">
        <f t="shared" si="0"/>
        <v>1.8168450450450451</v>
      </c>
      <c r="J8" s="1">
        <f t="shared" si="1"/>
        <v>1816.845045045045</v>
      </c>
      <c r="K8" s="1">
        <f t="shared" si="3"/>
        <v>1204.0988288288288</v>
      </c>
      <c r="L8" s="1">
        <f>100*$C$4/H8</f>
        <v>99.759284731774414</v>
      </c>
      <c r="M8" s="1">
        <f t="shared" si="2"/>
        <v>2.4253314322500001</v>
      </c>
      <c r="O8" s="1"/>
      <c r="P8" s="1"/>
      <c r="Q8" s="1"/>
    </row>
    <row r="9" spans="1:17" x14ac:dyDescent="0.25">
      <c r="E9" s="1">
        <v>10.5</v>
      </c>
      <c r="F9" s="1">
        <v>0.75</v>
      </c>
      <c r="G9" s="13">
        <f t="shared" si="4"/>
        <v>2737.5</v>
      </c>
      <c r="H9" s="1">
        <f>2*218.1</f>
        <v>436.2</v>
      </c>
      <c r="I9" s="1">
        <f t="shared" si="0"/>
        <v>1.4343513513513513</v>
      </c>
      <c r="J9" s="1">
        <f t="shared" si="1"/>
        <v>1434.3513513513512</v>
      </c>
      <c r="K9" s="1">
        <f t="shared" si="3"/>
        <v>1921.2745045045044</v>
      </c>
      <c r="L9" s="1">
        <f>100*$C$4/H9</f>
        <v>99.759284731774414</v>
      </c>
      <c r="M9" s="1">
        <f t="shared" si="2"/>
        <v>1.9147353412499999</v>
      </c>
      <c r="O9" s="1"/>
      <c r="P9" s="1"/>
      <c r="Q9" s="1"/>
    </row>
    <row r="10" spans="1:17" x14ac:dyDescent="0.25">
      <c r="E10" s="2">
        <v>11</v>
      </c>
      <c r="F10" s="1">
        <v>0.35</v>
      </c>
      <c r="G10" s="11">
        <f t="shared" si="4"/>
        <v>1277.5</v>
      </c>
      <c r="H10" s="1">
        <v>205.42</v>
      </c>
      <c r="I10" s="1">
        <f t="shared" si="0"/>
        <v>0.31522408408408409</v>
      </c>
      <c r="J10" s="1">
        <f t="shared" si="1"/>
        <v>315.2240840840841</v>
      </c>
      <c r="K10" s="1">
        <f t="shared" si="3"/>
        <v>2078.8865465465465</v>
      </c>
      <c r="L10" s="1">
        <f>100*D4/H10</f>
        <v>94.374452341544171</v>
      </c>
      <c r="M10" s="1">
        <f t="shared" si="2"/>
        <v>0.42079696417499995</v>
      </c>
      <c r="O10" s="1"/>
      <c r="P10" s="1"/>
      <c r="Q10" s="1"/>
    </row>
    <row r="11" spans="1:17" x14ac:dyDescent="0.25">
      <c r="E11" s="4">
        <v>11.5</v>
      </c>
      <c r="F11" s="1">
        <v>0.15</v>
      </c>
      <c r="G11" s="8">
        <f t="shared" si="4"/>
        <v>547.5</v>
      </c>
      <c r="H11" s="1"/>
      <c r="I11" s="1">
        <f t="shared" si="0"/>
        <v>0</v>
      </c>
      <c r="J11" s="1">
        <f t="shared" si="1"/>
        <v>0</v>
      </c>
      <c r="K11" s="1">
        <f t="shared" si="3"/>
        <v>2078.8865465465465</v>
      </c>
      <c r="L11" s="1">
        <v>0</v>
      </c>
      <c r="M11" s="1">
        <f t="shared" si="2"/>
        <v>0</v>
      </c>
      <c r="O11" s="1"/>
      <c r="P11" s="1"/>
      <c r="Q11" s="1"/>
    </row>
    <row r="12" spans="1:17" x14ac:dyDescent="0.25">
      <c r="E12" s="2">
        <v>12</v>
      </c>
      <c r="F12" s="1">
        <v>0.05</v>
      </c>
      <c r="G12" s="8">
        <f t="shared" si="4"/>
        <v>182.5</v>
      </c>
      <c r="H12" s="1"/>
      <c r="I12" s="1">
        <f t="shared" si="0"/>
        <v>0</v>
      </c>
      <c r="J12" s="1">
        <f t="shared" si="1"/>
        <v>0</v>
      </c>
      <c r="K12" s="1">
        <f t="shared" si="3"/>
        <v>2078.8865465465465</v>
      </c>
      <c r="L12" s="1">
        <v>0</v>
      </c>
      <c r="M12" s="1">
        <f t="shared" si="2"/>
        <v>0</v>
      </c>
      <c r="O12" s="1"/>
      <c r="P12" s="1"/>
      <c r="Q12" s="1"/>
    </row>
    <row r="13" spans="1:17" x14ac:dyDescent="0.25">
      <c r="E13" s="4">
        <v>12.5</v>
      </c>
      <c r="F13" s="1">
        <v>0</v>
      </c>
      <c r="G13" s="8">
        <f t="shared" si="4"/>
        <v>0</v>
      </c>
      <c r="H13" s="1"/>
      <c r="I13" s="1">
        <f t="shared" si="0"/>
        <v>0</v>
      </c>
      <c r="J13" s="1">
        <f t="shared" si="1"/>
        <v>0</v>
      </c>
      <c r="K13" s="1">
        <f t="shared" si="3"/>
        <v>2078.8865465465465</v>
      </c>
      <c r="L13" s="1">
        <v>0</v>
      </c>
      <c r="M13" s="1">
        <f t="shared" si="2"/>
        <v>0</v>
      </c>
      <c r="O13" s="1"/>
      <c r="P13" s="1"/>
      <c r="Q13" s="1"/>
    </row>
    <row r="14" spans="1:17" x14ac:dyDescent="0.25">
      <c r="E14" s="2">
        <v>13</v>
      </c>
      <c r="F14" s="1">
        <v>0</v>
      </c>
      <c r="G14" s="8">
        <f t="shared" si="4"/>
        <v>0</v>
      </c>
      <c r="H14" s="1"/>
      <c r="I14" s="1">
        <f t="shared" si="0"/>
        <v>0</v>
      </c>
      <c r="J14" s="1">
        <f t="shared" si="1"/>
        <v>0</v>
      </c>
      <c r="K14" s="1">
        <f t="shared" si="3"/>
        <v>2078.8865465465465</v>
      </c>
      <c r="L14" s="1">
        <v>0</v>
      </c>
      <c r="M14" s="1">
        <f t="shared" si="2"/>
        <v>0</v>
      </c>
      <c r="O14" s="1"/>
      <c r="P14" s="1"/>
      <c r="Q14" s="1"/>
    </row>
    <row r="15" spans="1:17" x14ac:dyDescent="0.25">
      <c r="E15" s="4">
        <v>13.5</v>
      </c>
      <c r="F15" s="1">
        <v>0</v>
      </c>
      <c r="G15" s="8">
        <f t="shared" si="4"/>
        <v>0</v>
      </c>
      <c r="H15" s="1"/>
      <c r="I15" s="1">
        <f t="shared" si="0"/>
        <v>0</v>
      </c>
      <c r="J15" s="1">
        <f t="shared" si="1"/>
        <v>0</v>
      </c>
      <c r="K15" s="1">
        <f t="shared" si="3"/>
        <v>2078.8865465465465</v>
      </c>
      <c r="L15" s="1">
        <v>0</v>
      </c>
      <c r="M15" s="1">
        <f t="shared" si="2"/>
        <v>0</v>
      </c>
      <c r="O15" s="1"/>
      <c r="P15" s="1"/>
      <c r="Q15" s="1"/>
    </row>
    <row r="16" spans="1:17" x14ac:dyDescent="0.25">
      <c r="E16" s="2">
        <v>13.995357142857101</v>
      </c>
      <c r="F16" s="1">
        <v>0.05</v>
      </c>
      <c r="G16" s="8">
        <f t="shared" si="4"/>
        <v>182.5</v>
      </c>
      <c r="H16" s="1"/>
      <c r="I16" s="1">
        <f t="shared" si="0"/>
        <v>0</v>
      </c>
      <c r="J16" s="1">
        <f t="shared" si="1"/>
        <v>0</v>
      </c>
      <c r="K16" s="1">
        <f t="shared" si="3"/>
        <v>2078.8865465465465</v>
      </c>
      <c r="L16" s="14">
        <v>0</v>
      </c>
      <c r="M16" s="1">
        <f t="shared" si="2"/>
        <v>0</v>
      </c>
      <c r="P16" s="5"/>
      <c r="Q16" s="5"/>
    </row>
    <row r="17" spans="5:17" x14ac:dyDescent="0.25">
      <c r="E17" s="4">
        <v>14.5</v>
      </c>
      <c r="F17" s="1">
        <v>0.15</v>
      </c>
      <c r="G17" s="8">
        <f t="shared" si="4"/>
        <v>547.5</v>
      </c>
      <c r="H17" s="1"/>
      <c r="I17" s="1">
        <f t="shared" si="0"/>
        <v>0</v>
      </c>
      <c r="J17" s="1">
        <f t="shared" si="1"/>
        <v>0</v>
      </c>
      <c r="K17" s="1">
        <f t="shared" si="3"/>
        <v>2078.8865465465465</v>
      </c>
      <c r="L17" s="14">
        <v>0</v>
      </c>
      <c r="M17" s="1">
        <f t="shared" si="2"/>
        <v>0</v>
      </c>
    </row>
    <row r="18" spans="5:17" x14ac:dyDescent="0.25">
      <c r="E18" s="2">
        <v>14.994999999999999</v>
      </c>
      <c r="F18" s="1">
        <v>0.25</v>
      </c>
      <c r="G18" s="11">
        <f t="shared" si="4"/>
        <v>912.5</v>
      </c>
      <c r="H18" s="1">
        <v>217.56399999999999</v>
      </c>
      <c r="I18" s="1">
        <f t="shared" si="0"/>
        <v>0.23847105105105104</v>
      </c>
      <c r="J18" s="1">
        <f t="shared" si="1"/>
        <v>238.47105105105103</v>
      </c>
      <c r="K18" s="1">
        <f t="shared" si="3"/>
        <v>2198.1220720720721</v>
      </c>
      <c r="L18" s="14">
        <f>($D$4*100)/H18</f>
        <v>89.106653674321123</v>
      </c>
      <c r="M18" s="1">
        <f t="shared" si="2"/>
        <v>0.318338285025</v>
      </c>
      <c r="O18" s="1" t="s">
        <v>19</v>
      </c>
      <c r="P18" s="1" t="s">
        <v>18</v>
      </c>
      <c r="Q18" s="1" t="s">
        <v>9</v>
      </c>
    </row>
    <row r="19" spans="5:17" x14ac:dyDescent="0.25">
      <c r="E19" s="4">
        <v>15.5</v>
      </c>
      <c r="F19" s="1">
        <v>0.35</v>
      </c>
      <c r="G19" s="11">
        <f t="shared" si="4"/>
        <v>1277.5</v>
      </c>
      <c r="H19" s="1">
        <v>205.42</v>
      </c>
      <c r="I19" s="1">
        <f t="shared" si="0"/>
        <v>0.31522408408408409</v>
      </c>
      <c r="J19" s="1">
        <f t="shared" si="1"/>
        <v>315.2240840840841</v>
      </c>
      <c r="K19" s="1">
        <f t="shared" si="3"/>
        <v>2355.7341141141142</v>
      </c>
      <c r="L19" s="1">
        <f>100*D4/H19</f>
        <v>94.374452341544171</v>
      </c>
      <c r="M19" s="1">
        <f t="shared" si="2"/>
        <v>0.42079696417499995</v>
      </c>
      <c r="O19" s="15" t="s">
        <v>27</v>
      </c>
      <c r="P19" s="18">
        <f>(J6+J18)*B4</f>
        <v>238.47105105105103</v>
      </c>
      <c r="Q19" s="19">
        <f>M6+M18</f>
        <v>0.63667657005</v>
      </c>
    </row>
    <row r="20" spans="5:17" x14ac:dyDescent="0.25">
      <c r="E20" s="2">
        <v>15.9946428571428</v>
      </c>
      <c r="F20" s="1">
        <v>0.95</v>
      </c>
      <c r="G20" s="13">
        <f t="shared" si="4"/>
        <v>3467.5</v>
      </c>
      <c r="H20" s="1">
        <v>436.2</v>
      </c>
      <c r="I20" s="1">
        <f t="shared" si="0"/>
        <v>1.8168450450450451</v>
      </c>
      <c r="J20" s="1">
        <f t="shared" si="1"/>
        <v>1816.845045045045</v>
      </c>
      <c r="K20" s="1">
        <f t="shared" si="3"/>
        <v>3264.1566366366369</v>
      </c>
      <c r="L20" s="1">
        <f>100*$C$4/H20</f>
        <v>99.759284731774414</v>
      </c>
      <c r="M20" s="1">
        <f t="shared" si="2"/>
        <v>2.4253314322500001</v>
      </c>
      <c r="O20" s="15" t="s">
        <v>28</v>
      </c>
      <c r="P20" s="18">
        <f>(J7+J10+J19+J22+J23)*0.5</f>
        <v>824.42418468468475</v>
      </c>
      <c r="Q20" s="19">
        <f>M7+M10+M19+M22+M23</f>
        <v>2.2010703599362498</v>
      </c>
    </row>
    <row r="21" spans="5:17" ht="15.75" customHeight="1" x14ac:dyDescent="0.25">
      <c r="E21" s="4">
        <v>16.5</v>
      </c>
      <c r="F21" s="1">
        <v>0.7</v>
      </c>
      <c r="G21" s="13">
        <f t="shared" si="4"/>
        <v>2555</v>
      </c>
      <c r="H21" s="1">
        <f>2*218.8</f>
        <v>437.6</v>
      </c>
      <c r="I21" s="1">
        <f t="shared" si="0"/>
        <v>1.3430246246246247</v>
      </c>
      <c r="J21" s="1">
        <f t="shared" si="1"/>
        <v>1343.0246246246247</v>
      </c>
      <c r="K21" s="1">
        <f t="shared" si="3"/>
        <v>3935.668948948949</v>
      </c>
      <c r="L21" s="1">
        <f>100*$C$4/H21</f>
        <v>99.440127970749543</v>
      </c>
      <c r="M21" s="1">
        <f t="shared" si="2"/>
        <v>1.792822038</v>
      </c>
      <c r="O21" s="15" t="s">
        <v>32</v>
      </c>
      <c r="P21" s="18">
        <f>(J8+J9+J20+J21)*0.5</f>
        <v>3205.5330330330326</v>
      </c>
      <c r="Q21" s="19">
        <f>M8+M9+M20+M21</f>
        <v>8.5582202437500001</v>
      </c>
    </row>
    <row r="22" spans="5:17" ht="15.75" customHeight="1" x14ac:dyDescent="0.25">
      <c r="E22" s="2">
        <v>16.994285714285699</v>
      </c>
      <c r="F22" s="1">
        <v>0.45</v>
      </c>
      <c r="G22" s="11">
        <f t="shared" si="4"/>
        <v>1642.5</v>
      </c>
      <c r="H22" s="1">
        <v>197.221</v>
      </c>
      <c r="I22" s="1">
        <f t="shared" si="0"/>
        <v>0.38911170270270268</v>
      </c>
      <c r="J22" s="1">
        <f t="shared" si="1"/>
        <v>389.1117027027027</v>
      </c>
      <c r="K22" s="1">
        <f t="shared" si="3"/>
        <v>4130.2248003003006</v>
      </c>
      <c r="L22" s="1">
        <f>100*D4/H22</f>
        <v>98.297848606385742</v>
      </c>
      <c r="M22" s="1">
        <f t="shared" si="2"/>
        <v>0.51943056222374995</v>
      </c>
      <c r="P22" s="6">
        <f>SUM(P19:P21)</f>
        <v>4268.4282687687682</v>
      </c>
      <c r="Q22" s="20">
        <f t="shared" ref="Q22" si="5">SUM(Q19:Q21)</f>
        <v>11.395967173736249</v>
      </c>
    </row>
    <row r="23" spans="5:17" ht="15.75" customHeight="1" x14ac:dyDescent="0.25">
      <c r="E23" s="4">
        <v>17.5</v>
      </c>
      <c r="F23" s="1">
        <v>0.3</v>
      </c>
      <c r="G23" s="11">
        <f t="shared" si="4"/>
        <v>1095</v>
      </c>
      <c r="H23" s="1">
        <v>210.14500000000001</v>
      </c>
      <c r="I23" s="1">
        <f t="shared" si="0"/>
        <v>0.27640693693693696</v>
      </c>
      <c r="J23" s="1">
        <f t="shared" si="1"/>
        <v>276.40693693693697</v>
      </c>
      <c r="K23" s="1">
        <f t="shared" si="3"/>
        <v>4268.4282687687692</v>
      </c>
      <c r="L23" s="1">
        <f>100*D4/H23</f>
        <v>92.252492326726781</v>
      </c>
      <c r="M23" s="1">
        <f t="shared" si="2"/>
        <v>0.36897942071250001</v>
      </c>
    </row>
    <row r="24" spans="5:17" ht="15.75" customHeight="1" x14ac:dyDescent="0.25">
      <c r="E24" s="2">
        <v>17.993928571428601</v>
      </c>
      <c r="F24" s="1">
        <v>0</v>
      </c>
      <c r="G24" s="8">
        <f t="shared" si="4"/>
        <v>0</v>
      </c>
      <c r="H24" s="1">
        <v>0</v>
      </c>
      <c r="I24" s="1">
        <f t="shared" si="0"/>
        <v>0</v>
      </c>
      <c r="J24" s="1">
        <f t="shared" si="1"/>
        <v>0</v>
      </c>
      <c r="K24" s="5">
        <f t="shared" si="3"/>
        <v>4268.4282687687692</v>
      </c>
      <c r="L24" s="1">
        <v>0</v>
      </c>
      <c r="M24" s="1">
        <f t="shared" si="2"/>
        <v>0</v>
      </c>
      <c r="O24" s="1" t="s">
        <v>19</v>
      </c>
      <c r="P24" s="15" t="s">
        <v>20</v>
      </c>
      <c r="Q24" s="15" t="s">
        <v>33</v>
      </c>
    </row>
    <row r="25" spans="5:17" ht="15.75" customHeight="1" x14ac:dyDescent="0.25">
      <c r="J25" s="5">
        <f>SUM(J4:J24)</f>
        <v>8536.8565375375383</v>
      </c>
      <c r="M25" s="5">
        <f>SUM(M4:M24)</f>
        <v>11.395967173736251</v>
      </c>
      <c r="O25" s="15" t="s">
        <v>27</v>
      </c>
      <c r="P25" s="16">
        <f t="shared" ref="P25:P27" si="6">P19/$P$22</f>
        <v>5.5868585820194237E-2</v>
      </c>
      <c r="Q25" s="16">
        <f t="shared" ref="Q25:Q27" si="7">Q19/$Q$22</f>
        <v>5.5868585820194237E-2</v>
      </c>
    </row>
    <row r="26" spans="5:17" ht="15.75" customHeight="1" x14ac:dyDescent="0.25">
      <c r="O26" s="15" t="s">
        <v>28</v>
      </c>
      <c r="P26" s="16">
        <f>P20/$P$22</f>
        <v>0.1931446735832088</v>
      </c>
      <c r="Q26" s="16">
        <f>Q20/$Q$22</f>
        <v>0.19314467358320875</v>
      </c>
    </row>
    <row r="27" spans="5:17" ht="15.75" customHeight="1" x14ac:dyDescent="0.25">
      <c r="O27" s="15" t="s">
        <v>32</v>
      </c>
      <c r="P27" s="16">
        <f t="shared" si="6"/>
        <v>0.75098674059659698</v>
      </c>
      <c r="Q27" s="16">
        <f t="shared" si="7"/>
        <v>0.75098674059659709</v>
      </c>
    </row>
    <row r="28" spans="5:17" ht="15.75" customHeight="1" x14ac:dyDescent="0.25">
      <c r="P28" s="17">
        <f t="shared" ref="P28:Q28" si="8">SUM(P25:P27)</f>
        <v>1</v>
      </c>
      <c r="Q28" s="17">
        <f t="shared" si="8"/>
        <v>1</v>
      </c>
    </row>
    <row r="29" spans="5:17" ht="15.75" customHeight="1" x14ac:dyDescent="0.25"/>
    <row r="30" spans="5:17" ht="15.75" customHeight="1" x14ac:dyDescent="0.25">
      <c r="O30" s="1"/>
      <c r="P30" s="15"/>
      <c r="Q30" s="15"/>
    </row>
    <row r="31" spans="5:17" ht="15.75" customHeight="1" x14ac:dyDescent="0.25">
      <c r="O31" s="15"/>
      <c r="P31" s="2"/>
      <c r="Q31" s="3"/>
    </row>
    <row r="32" spans="5:17" ht="15.75" customHeight="1" x14ac:dyDescent="0.25">
      <c r="O32" s="15"/>
      <c r="P32" s="2"/>
      <c r="Q32" s="3"/>
    </row>
    <row r="33" spans="15:17" ht="15.75" customHeight="1" x14ac:dyDescent="0.25">
      <c r="O33" s="15"/>
      <c r="P33" s="2"/>
      <c r="Q33" s="3"/>
    </row>
    <row r="34" spans="15:17" ht="15.75" customHeight="1" x14ac:dyDescent="0.25">
      <c r="P34" s="6"/>
      <c r="Q34" s="7"/>
    </row>
    <row r="35" spans="15:17" ht="15.75" customHeight="1" x14ac:dyDescent="0.25"/>
    <row r="36" spans="15:17" ht="15.75" customHeight="1" x14ac:dyDescent="0.25"/>
    <row r="37" spans="15:17" ht="15.75" customHeight="1" x14ac:dyDescent="0.25"/>
    <row r="38" spans="15:17" ht="15.75" customHeight="1" x14ac:dyDescent="0.25"/>
    <row r="39" spans="15:17" ht="15.75" customHeight="1" x14ac:dyDescent="0.25"/>
    <row r="40" spans="15:17" ht="15.75" customHeight="1" x14ac:dyDescent="0.25"/>
    <row r="41" spans="15:17" ht="15.75" customHeight="1" x14ac:dyDescent="0.25"/>
    <row r="42" spans="15:17" ht="15.75" customHeight="1" x14ac:dyDescent="0.25"/>
    <row r="43" spans="15:17" ht="15.75" customHeight="1" x14ac:dyDescent="0.25"/>
    <row r="44" spans="15:17" ht="15.75" customHeight="1" x14ac:dyDescent="0.25"/>
    <row r="45" spans="15:17" ht="15.75" customHeight="1" x14ac:dyDescent="0.25"/>
    <row r="46" spans="15:17" ht="15.75" customHeight="1" x14ac:dyDescent="0.25"/>
    <row r="47" spans="15:17" ht="15.75" customHeight="1" x14ac:dyDescent="0.25"/>
    <row r="48" spans="15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30 min_1m</vt:lpstr>
      <vt:lpstr>30 min_2m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 Zamora</cp:lastModifiedBy>
  <dcterms:created xsi:type="dcterms:W3CDTF">2024-09-11T14:35:20Z</dcterms:created>
  <dcterms:modified xsi:type="dcterms:W3CDTF">2025-12-27T10:44:01Z</dcterms:modified>
</cp:coreProperties>
</file>