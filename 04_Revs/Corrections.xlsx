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desar\Desktop\"/>
    </mc:Choice>
  </mc:AlternateContent>
  <xr:revisionPtr revIDLastSave="0" documentId="13_ncr:1_{51952C95-821B-4344-BBD5-7E3BEFC3E5DF}" xr6:coauthVersionLast="47" xr6:coauthVersionMax="47" xr10:uidLastSave="{00000000-0000-0000-0000-000000000000}"/>
  <bookViews>
    <workbookView xWindow="-110" yWindow="-110" windowWidth="19420" windowHeight="10420" activeTab="1" xr2:uid="{C5D9F6B7-965C-431D-A2D4-7D1A98BFB1B8}"/>
  </bookViews>
  <sheets>
    <sheet name="Christian Rojas " sheetId="3" r:id="rId1"/>
    <sheet name="Jon Are Suul"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1" l="1"/>
  <c r="F11" i="1"/>
  <c r="F12" i="1"/>
  <c r="F13" i="1"/>
  <c r="F14" i="1"/>
  <c r="F15" i="1"/>
  <c r="F16" i="1"/>
  <c r="F17" i="1"/>
  <c r="F9" i="3"/>
  <c r="F8" i="3"/>
  <c r="F7" i="3"/>
  <c r="F6" i="3"/>
  <c r="F5" i="3"/>
  <c r="F6" i="1"/>
  <c r="F7" i="1"/>
  <c r="F8" i="1"/>
  <c r="F9" i="1"/>
  <c r="F5" i="1"/>
</calcChain>
</file>

<file path=xl/sharedStrings.xml><?xml version="1.0" encoding="utf-8"?>
<sst xmlns="http://schemas.openxmlformats.org/spreadsheetml/2006/main" count="64" uniqueCount="56">
  <si>
    <t>No me queda claro si fue necesario modelar las perturbaciones del sistemas: viento, torque de carga, desgaste de baterías, nivel de agua de la embarcación, peso de la embarcación, entre otros. Esto quizás podría servir para definir el tipo de banco de baterías.</t>
  </si>
  <si>
    <t>La hipótesis me hizo falta definirla, por ejemplo la hipótesis podría haber sido: Se puede obtener un mejor BSFC con una powertrain híbrida serie comparada con la solución convencional</t>
  </si>
  <si>
    <t>Dado el estado del arte en [R0]-[R3], es claro que al agregar un powertrain híbrido el BSFC disminuye, pero no queda clara como cambia el volumen del powertrain, las horas útiles de la embarcación en Kms, etc.</t>
  </si>
  <si>
    <t>De la operación del convertidor, no queda claro si efectivamente trabaja en los tres niveles que dispone, se podría haber mostrado el nivel de potencia generado con el voltaje Vab para demostrar que el convertidor opera en tres niveles según el nivel de potencia que se demanda.</t>
  </si>
  <si>
    <t>La mayoría de estos convertidores para BESS son modulares, acá no me queda claro como extendería su sistema de control para el caso de tener un maestro esclavo por ejemplo y así controlar el voltaje de la batería.</t>
  </si>
  <si>
    <t>Checkbox</t>
  </si>
  <si>
    <t>#</t>
  </si>
  <si>
    <t>Comments</t>
  </si>
  <si>
    <t>State</t>
  </si>
  <si>
    <t>Answer</t>
  </si>
  <si>
    <t>Based on the operational load profile provided for the tugboat, the battery bank will be sized, designed, and simulated. The confidentiality and complexity of obtaining these technical parameters for the vessel without the direct assistance and involvement of a customer meant that this study did not include mathematical modeling of the vessel or external disturbances (such as wind, load torque, or draft), information that could be useful for a more robust initial design.</t>
  </si>
  <si>
    <r>
      <t xml:space="preserve">For the operation of TLBBC modules in parallel, the control scheme shown in Figure A7 is proposed.
Figure A7 shows the control received by each slave, which has a voltage reference </t>
    </r>
    <r>
      <rPr>
        <i/>
        <sz val="11"/>
        <color theme="1"/>
        <rFont val="Aptos Narrow"/>
        <family val="2"/>
        <scheme val="minor"/>
      </rPr>
      <t>Ref_Master</t>
    </r>
    <r>
      <rPr>
        <sz val="11"/>
        <color theme="1"/>
        <rFont val="Aptos Narrow"/>
        <family val="2"/>
        <scheme val="minor"/>
      </rPr>
      <t xml:space="preserve"> provided by the master module and also considers an additional control stage (CC stage control), corresponding to an output current control for each slave module, whose reference </t>
    </r>
    <r>
      <rPr>
        <i/>
        <sz val="11"/>
        <color theme="1"/>
        <rFont val="Aptos Narrow"/>
        <family val="2"/>
        <scheme val="minor"/>
      </rPr>
      <t>io_master</t>
    </r>
    <r>
      <rPr>
        <sz val="11"/>
        <color theme="1"/>
        <rFont val="Aptos Narrow"/>
        <family val="2"/>
        <scheme val="minor"/>
      </rPr>
      <t xml:space="preserve"> is also provided by the master module, comparing this reference with the module output current </t>
    </r>
    <r>
      <rPr>
        <i/>
        <sz val="11"/>
        <color theme="1"/>
        <rFont val="Aptos Narrow"/>
        <family val="2"/>
        <scheme val="minor"/>
      </rPr>
      <t>io_mod</t>
    </r>
    <r>
      <rPr>
        <sz val="11"/>
        <color theme="1"/>
        <rFont val="Aptos Narrow"/>
        <family val="2"/>
        <scheme val="minor"/>
      </rPr>
      <t xml:space="preserve">.
In this way, the master module follows the control scheme shown in Figure A6, and the control for each slave module is modified, as is shown in Figure A7, receiving the voltage reference </t>
    </r>
    <r>
      <rPr>
        <i/>
        <sz val="11"/>
        <color theme="1"/>
        <rFont val="Aptos Narrow"/>
        <family val="2"/>
        <scheme val="minor"/>
      </rPr>
      <t>Ref_Master</t>
    </r>
    <r>
      <rPr>
        <sz val="11"/>
        <color theme="1"/>
        <rFont val="Aptos Narrow"/>
        <family val="2"/>
        <scheme val="minor"/>
      </rPr>
      <t xml:space="preserve"> and output current reference </t>
    </r>
    <r>
      <rPr>
        <i/>
        <sz val="11"/>
        <color theme="1"/>
        <rFont val="Aptos Narrow"/>
        <family val="2"/>
        <scheme val="minor"/>
      </rPr>
      <t>io_master</t>
    </r>
    <r>
      <rPr>
        <sz val="11"/>
        <color theme="1"/>
        <rFont val="Aptos Narrow"/>
        <family val="2"/>
        <scheme val="minor"/>
      </rPr>
      <t xml:space="preserve"> from the master module.</t>
    </r>
  </si>
  <si>
    <t>As shown in Figure 7.1, it is proposed to change the switching logic of the TLBBC converter to achieve not only two levels, but three voltage levels through LS-PWM modulation, which reduces the voltage on the power switches and increases their service life. Three-level switching can be interpreted as a vertical interleaving of the two bridges [101]. This is considered essential to ensure that these power converters do not need to be replaced.</t>
  </si>
  <si>
    <t xml:space="preserve">
By integrating a hybrid propulsion system, designed according to the actual load profile of a conventional tugboat and managed through one or more operating modes, it is possible to reduce fuel consumption and, therefore, pollutant emissions, while maintaining the main operation of the tugboat and increasing the relative efficiency of the conventional propulsion system.
This hybrid propulsion system can consider additional energy sources and battery energy storage systems (BESS).</t>
  </si>
  <si>
    <t>- Tables 4.28 and 4.34 show information on the powertrain volume. 
- The useful hours of the hybrid vessel are shown in Figures 3.19, 3.20, 3.21, and 3.22.</t>
  </si>
  <si>
    <t>Section 1.1.1.c) on “Series-Parallel Hybrid Architectures” is not well developed, and a bit more explanations would be needed to make it clear and transparent in the context of the previous subsection.</t>
  </si>
  <si>
    <t>In Section 1.1.2.d) there is a small inconsistency, since it is first stated that “Fuel Cells (FCs) work as power sources without greenhouse gas emissions”, while it is later mentioned that FCs can operate on methanol or LNG etc. Obviously, the statement on operation “without greenhouse gas emissions” is only valid if the FC is operated on hydrogen.</t>
  </si>
  <si>
    <t>In Table 1.1, the “Overall Efficiency (%)” of Flywheel is listed to be 15-20. This does not seem reasonable, at least not for relatively large units using magnetic bearings etc</t>
  </si>
  <si>
    <t>Section 1.1.3, the different types of Li-ion batteries are listed in Table 1.2. However, the LTO is not included in the table, even if it is mentioned later in section 4.3.</t>
  </si>
  <si>
    <t>Section 1.1.4 is dedicated to Battery Systems in Maritime Applications, but contains three subsections (1.1.4.a) – 1.1.4.c)) that are discussing different propulsion architectures. Maybe these points should belong in another subsection (i.e. be 1.1.4.a)-1.1.5.c) )?</t>
  </si>
  <si>
    <t>After Fig. 1.10 but before Fig. 1.11 it is stated that “… ship with hybrid electric/mechanical propulsion system may have a direct current distribution system…” However, none of the illustrations in this section include a dc-distribution system. Some minor editing might be considered to align the text and figures in this part.</t>
  </si>
  <si>
    <t>In section 1.2, the point on “Safety assessment of the BESS….” appears twice.</t>
  </si>
  <si>
    <t>In section 2.3, the same paragraph of text seem to appear in the beginning of both section 2.3.1 and 2.3.2.</t>
  </si>
  <si>
    <t>As a comment just for information, and not necessarily to change anything in the text: In section 3.3.3, Table 3.2, it is mentioned for DC grids that “DC circuit breakers do exist to some extent but are more complex, larger and more expensive than comparable AC circuit breakers”. However, there are now IGBT-based electronic circuit breakers (or solid-state circuit breakers) available for ship power DC-systems  - they might still be more expensive and more complex than ac circuit breakers, but are quite compact and thereby not necessarily “larger” than ac circuit breakers.</t>
  </si>
  <si>
    <t>In section 4.1.e) equation (4.4) should be corrected, since the power is listed with unit [kWh] instead of [kw]</t>
  </si>
  <si>
    <t>In section 4.5.1.g), the caption of Table 4.25 should be updated, as it currently refers to “(small bank)”, while it should be “(large bank)”</t>
  </si>
  <si>
    <t>In section 4.5.3.a), the text describing Table 4.36 and 4.37 should be checked, since it does not reflect the numbers given in the tables</t>
  </si>
  <si>
    <t>In section 5.12., the values in Table 5.1.2 should be checked. The given value for E_0 is 39.25 V while the voltage Li-ion battery cells is typically in the range of 3-4V.</t>
  </si>
  <si>
    <t xml:space="preserve"> For example, by connecting an electric generator in parallel with a battery pack that powers an electric motor. This system provides vessels with the flexibility to choose how to power the propulsion system depending on the boat's requirements.</t>
  </si>
  <si>
    <t>The fuel used in fuel cells is essentially hydrogen, as it generates no emissions at its point of operation. The DC output from the fuel cells is converted to the required voltage by DC/DC converters to suit the DC bus.</t>
  </si>
  <si>
    <t>Writing error corrected (overall efficiency (%) 93-95)</t>
  </si>
  <si>
    <t>Information incorporated in table 1.2</t>
  </si>
  <si>
    <t>A new subsection called “BESS in Maritime Applications” is created.</t>
  </si>
  <si>
    <t>To avoid confusion regarding what is shown in Figures 1.10, the text was removed.</t>
  </si>
  <si>
    <t>Thank you for the clarification, correction made.</t>
  </si>
  <si>
    <t>There are different maneuvers that tugboats perform to help large ships enter or leave different ports, such as those listed below.</t>
  </si>
  <si>
    <t>Although IGBT-based electronic circuit breakers (or solid-state circuit breakers) available for DC power systems on ships are typically more compact than AC circuit breakers, they remain more expensive and complex than AC circuit breakers.</t>
  </si>
  <si>
    <t>Tables 4.47 and 4.48 show that, for a small battery bank, only NMC technology makes the project unfeasible within a 10-year period. The rest of the technologies show viability for installation within all the periods mentioned. This contrasts with the large battery bank, where only LFP technology has the highest viability, with NMC being unviable and LTO viable only within a 20-year period.</t>
  </si>
  <si>
    <t>Given the cell used (Valence - Group 27, 36 Volt 50 Ah Lithium Ion Battery Module), it has a nominal voltage of 38.4 V. This module is likely composed of several cells connected in series to form a string, with several strings connected in parallel. At this stage of the investigation, this module was referred to as a “cell,” which is why the voltage obtained in the mathematical model is consistent with expectations, as subsequently confirmed in the figure.</t>
  </si>
  <si>
    <t>Section or Item</t>
  </si>
  <si>
    <t>- 3.6.2
- 3.6.2
- 4.4.8</t>
  </si>
  <si>
    <t>- Chapter7</t>
  </si>
  <si>
    <t>- A.5.2</t>
  </si>
  <si>
    <t>- 1.1.1.c)</t>
  </si>
  <si>
    <t xml:space="preserve">Section or item </t>
  </si>
  <si>
    <t>- 1.1.2.d)</t>
  </si>
  <si>
    <t>- Table 1.1</t>
  </si>
  <si>
    <t>- Table 1.2</t>
  </si>
  <si>
    <t>- 1.1.5</t>
  </si>
  <si>
    <t>-1.2</t>
  </si>
  <si>
    <t>-2.3.2</t>
  </si>
  <si>
    <t xml:space="preserve">-Table 3.2 </t>
  </si>
  <si>
    <t xml:space="preserve">-Equation 4.4 </t>
  </si>
  <si>
    <t>- Table 4.36</t>
  </si>
  <si>
    <t>- Table 5.3</t>
  </si>
  <si>
    <t>- 4.47
- 4.48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</si>
</sst>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i/>
      <sz val="11"/>
      <color theme="1"/>
      <name val="Aptos Narrow"/>
      <family val="2"/>
      <scheme val="minor"/>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1" xfId="0" applyFont="1" applyBorder="1" applyAlignment="1">
      <alignment horizontal="center"/>
    </xf>
    <xf numFmtId="0" fontId="0" fillId="0" borderId="0" xfId="0" applyAlignment="1">
      <alignment wrapText="1"/>
    </xf>
    <xf numFmtId="0" fontId="1"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wrapText="1"/>
      <extLst>
        <ext xmlns:xfpb="http://schemas.microsoft.com/office/spreadsheetml/2022/featurepropertybag" uri="{C7286773-470A-42A8-94C5-96B5CB345126}">
          <xfpb:xfComplement i="0"/>
        </ext>
      </extLst>
    </xf>
    <xf numFmtId="0" fontId="0" fillId="2" borderId="1" xfId="0" applyFill="1" applyBorder="1" applyAlignment="1">
      <alignment horizontal="center" vertical="center"/>
    </xf>
    <xf numFmtId="0" fontId="0" fillId="0" borderId="1" xfId="0" applyBorder="1" applyAlignment="1">
      <alignment horizontal="center" vertical="center"/>
    </xf>
    <xf numFmtId="49" fontId="0" fillId="0" borderId="1" xfId="0" applyNumberFormat="1" applyBorder="1" applyAlignment="1">
      <alignment horizontal="center" vertical="center" wrapText="1"/>
    </xf>
    <xf numFmtId="49" fontId="0" fillId="0" borderId="1" xfId="0" applyNumberFormat="1" applyBorder="1" applyAlignment="1">
      <alignment horizontal="center" vertical="center"/>
    </xf>
    <xf numFmtId="0" fontId="0" fillId="0" borderId="1" xfId="0" applyBorder="1" applyAlignment="1">
      <alignment wrapText="1"/>
    </xf>
    <xf numFmtId="0" fontId="0" fillId="0" borderId="1"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4"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31C35-864C-49D8-A2B3-4F9938D5D1BC}">
  <dimension ref="C4:H9"/>
  <sheetViews>
    <sheetView topLeftCell="A9" zoomScale="80" zoomScaleNormal="80" workbookViewId="0">
      <selection activeCell="H10" sqref="H10"/>
    </sheetView>
  </sheetViews>
  <sheetFormatPr baseColWidth="10" defaultRowHeight="14.5" x14ac:dyDescent="0.35"/>
  <cols>
    <col min="4" max="5" width="36.6328125" customWidth="1"/>
    <col min="6" max="6" width="16.54296875" bestFit="1" customWidth="1"/>
    <col min="7" max="7" width="39.7265625" customWidth="1"/>
    <col min="8" max="8" width="15.36328125" bestFit="1" customWidth="1"/>
  </cols>
  <sheetData>
    <row r="4" spans="3:8" x14ac:dyDescent="0.35">
      <c r="C4" s="1" t="s">
        <v>6</v>
      </c>
      <c r="D4" s="1" t="s">
        <v>7</v>
      </c>
      <c r="E4" s="1" t="s">
        <v>5</v>
      </c>
      <c r="F4" s="1" t="s">
        <v>8</v>
      </c>
      <c r="G4" s="1" t="s">
        <v>9</v>
      </c>
      <c r="H4" s="1" t="s">
        <v>39</v>
      </c>
    </row>
    <row r="5" spans="3:8" ht="159.5" x14ac:dyDescent="0.35">
      <c r="C5" s="3">
        <v>1</v>
      </c>
      <c r="D5" s="4" t="s">
        <v>0</v>
      </c>
      <c r="E5" s="5" t="b">
        <v>1</v>
      </c>
      <c r="F5" s="6" t="str">
        <f xml:space="preserve"> IF(E5, "Answered", "Pending")</f>
        <v>Answered</v>
      </c>
      <c r="G5" s="4" t="s">
        <v>10</v>
      </c>
      <c r="H5" s="7">
        <v>1.6</v>
      </c>
    </row>
    <row r="6" spans="3:8" ht="233.5" customHeight="1" x14ac:dyDescent="0.35">
      <c r="C6" s="3">
        <v>2</v>
      </c>
      <c r="D6" s="4" t="s">
        <v>1</v>
      </c>
      <c r="E6" s="5" t="b">
        <v>1</v>
      </c>
      <c r="F6" s="6" t="str">
        <f t="shared" ref="F6:F9" si="0" xml:space="preserve"> IF(E6, "Answered", "Pending")</f>
        <v>Answered</v>
      </c>
      <c r="G6" s="4" t="s">
        <v>13</v>
      </c>
      <c r="H6" s="7">
        <v>1.3</v>
      </c>
    </row>
    <row r="7" spans="3:8" ht="93.5" customHeight="1" x14ac:dyDescent="0.35">
      <c r="C7" s="3">
        <v>3</v>
      </c>
      <c r="D7" s="4" t="s">
        <v>2</v>
      </c>
      <c r="E7" s="5" t="b">
        <v>1</v>
      </c>
      <c r="F7" s="6" t="str">
        <f t="shared" si="0"/>
        <v>Answered</v>
      </c>
      <c r="G7" s="8" t="s">
        <v>14</v>
      </c>
      <c r="H7" s="8" t="s">
        <v>40</v>
      </c>
    </row>
    <row r="8" spans="3:8" ht="167" customHeight="1" x14ac:dyDescent="0.35">
      <c r="C8" s="3">
        <v>4</v>
      </c>
      <c r="D8" s="4" t="s">
        <v>3</v>
      </c>
      <c r="E8" s="5" t="b">
        <v>1</v>
      </c>
      <c r="F8" s="6" t="str">
        <f t="shared" si="0"/>
        <v>Answered</v>
      </c>
      <c r="G8" s="4" t="s">
        <v>12</v>
      </c>
      <c r="H8" s="8" t="s">
        <v>41</v>
      </c>
    </row>
    <row r="9" spans="3:8" ht="290" x14ac:dyDescent="0.35">
      <c r="C9" s="3">
        <v>5</v>
      </c>
      <c r="D9" s="4" t="s">
        <v>4</v>
      </c>
      <c r="E9" s="5" t="b">
        <v>1</v>
      </c>
      <c r="F9" s="6" t="str">
        <f t="shared" si="0"/>
        <v>Answered</v>
      </c>
      <c r="G9" s="4" t="s">
        <v>11</v>
      </c>
      <c r="H9" s="9" t="s">
        <v>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B471C-A929-4647-8A3E-4F4546450BFE}">
  <dimension ref="C4:H19"/>
  <sheetViews>
    <sheetView tabSelected="1" topLeftCell="A15" zoomScale="80" zoomScaleNormal="80" workbookViewId="0">
      <selection activeCell="H17" sqref="H17"/>
    </sheetView>
  </sheetViews>
  <sheetFormatPr baseColWidth="10" defaultRowHeight="14.5" x14ac:dyDescent="0.35"/>
  <cols>
    <col min="4" max="5" width="36.6328125" customWidth="1"/>
    <col min="6" max="6" width="16.54296875" bestFit="1" customWidth="1"/>
    <col min="7" max="7" width="39.7265625" customWidth="1"/>
    <col min="8" max="8" width="19.90625" bestFit="1" customWidth="1"/>
  </cols>
  <sheetData>
    <row r="4" spans="3:8" x14ac:dyDescent="0.35">
      <c r="C4" s="1" t="s">
        <v>6</v>
      </c>
      <c r="D4" s="1" t="s">
        <v>7</v>
      </c>
      <c r="E4" s="1" t="s">
        <v>5</v>
      </c>
      <c r="F4" s="1" t="s">
        <v>8</v>
      </c>
      <c r="G4" s="1" t="s">
        <v>9</v>
      </c>
      <c r="H4" s="1" t="s">
        <v>44</v>
      </c>
    </row>
    <row r="5" spans="3:8" ht="87" x14ac:dyDescent="0.35">
      <c r="C5" s="3">
        <v>1</v>
      </c>
      <c r="D5" s="4" t="s">
        <v>15</v>
      </c>
      <c r="E5" s="5" t="b">
        <v>1</v>
      </c>
      <c r="F5" s="6" t="str">
        <f xml:space="preserve"> IF(E5, "Answered", "Pending")</f>
        <v>Answered</v>
      </c>
      <c r="G5" s="4" t="s">
        <v>28</v>
      </c>
      <c r="H5" s="9" t="s">
        <v>43</v>
      </c>
    </row>
    <row r="6" spans="3:8" ht="233.5" customHeight="1" x14ac:dyDescent="0.35">
      <c r="C6" s="3">
        <v>2</v>
      </c>
      <c r="D6" s="4" t="s">
        <v>16</v>
      </c>
      <c r="E6" s="5" t="b">
        <v>1</v>
      </c>
      <c r="F6" s="6" t="str">
        <f t="shared" ref="F6:F9" si="0" xml:space="preserve"> IF(E6, "Answered", "Pending")</f>
        <v>Answered</v>
      </c>
      <c r="G6" s="4" t="s">
        <v>29</v>
      </c>
      <c r="H6" s="9" t="s">
        <v>45</v>
      </c>
    </row>
    <row r="7" spans="3:8" ht="93.5" customHeight="1" x14ac:dyDescent="0.35">
      <c r="C7" s="3">
        <v>3</v>
      </c>
      <c r="D7" s="4" t="s">
        <v>17</v>
      </c>
      <c r="E7" s="5" t="b">
        <v>1</v>
      </c>
      <c r="F7" s="6" t="str">
        <f t="shared" si="0"/>
        <v>Answered</v>
      </c>
      <c r="G7" s="8" t="s">
        <v>30</v>
      </c>
      <c r="H7" s="8" t="s">
        <v>46</v>
      </c>
    </row>
    <row r="8" spans="3:8" ht="167" customHeight="1" x14ac:dyDescent="0.35">
      <c r="C8" s="3">
        <v>4</v>
      </c>
      <c r="D8" s="4" t="s">
        <v>18</v>
      </c>
      <c r="E8" s="5" t="b">
        <v>1</v>
      </c>
      <c r="F8" s="6" t="str">
        <f t="shared" si="0"/>
        <v>Answered</v>
      </c>
      <c r="G8" s="4" t="s">
        <v>31</v>
      </c>
      <c r="H8" s="8" t="s">
        <v>47</v>
      </c>
    </row>
    <row r="9" spans="3:8" ht="101.5" x14ac:dyDescent="0.35">
      <c r="C9" s="3">
        <v>5</v>
      </c>
      <c r="D9" s="4" t="s">
        <v>19</v>
      </c>
      <c r="E9" s="5" t="b">
        <v>1</v>
      </c>
      <c r="F9" s="6" t="str">
        <f t="shared" si="0"/>
        <v>Answered</v>
      </c>
      <c r="G9" s="4" t="s">
        <v>32</v>
      </c>
      <c r="H9" s="9" t="s">
        <v>48</v>
      </c>
    </row>
    <row r="10" spans="3:8" ht="116" x14ac:dyDescent="0.35">
      <c r="C10" s="3">
        <v>6</v>
      </c>
      <c r="D10" s="10" t="s">
        <v>20</v>
      </c>
      <c r="E10" s="5" t="b">
        <v>1</v>
      </c>
      <c r="F10" s="6" t="str">
        <f t="shared" ref="F10:F17" si="1" xml:space="preserve"> IF(E10, "Answered", "Pending")</f>
        <v>Answered</v>
      </c>
      <c r="G10" s="4" t="s">
        <v>33</v>
      </c>
      <c r="H10" s="9" t="s">
        <v>48</v>
      </c>
    </row>
    <row r="11" spans="3:8" ht="29" x14ac:dyDescent="0.35">
      <c r="C11" s="3">
        <v>7</v>
      </c>
      <c r="D11" s="11" t="s">
        <v>21</v>
      </c>
      <c r="E11" s="5" t="b">
        <v>1</v>
      </c>
      <c r="F11" s="6" t="str">
        <f t="shared" si="1"/>
        <v>Answered</v>
      </c>
      <c r="G11" s="4" t="s">
        <v>34</v>
      </c>
      <c r="H11" s="9" t="s">
        <v>49</v>
      </c>
    </row>
    <row r="12" spans="3:8" ht="43.5" x14ac:dyDescent="0.35">
      <c r="C12" s="3">
        <v>8</v>
      </c>
      <c r="D12" s="10" t="s">
        <v>22</v>
      </c>
      <c r="E12" s="5" t="b">
        <v>1</v>
      </c>
      <c r="F12" s="6" t="str">
        <f t="shared" si="1"/>
        <v>Answered</v>
      </c>
      <c r="G12" s="4" t="s">
        <v>35</v>
      </c>
      <c r="H12" s="9" t="s">
        <v>50</v>
      </c>
    </row>
    <row r="13" spans="3:8" ht="203" x14ac:dyDescent="0.35">
      <c r="C13" s="3">
        <v>9</v>
      </c>
      <c r="D13" s="10" t="s">
        <v>23</v>
      </c>
      <c r="E13" s="5" t="b">
        <v>1</v>
      </c>
      <c r="F13" s="6" t="str">
        <f t="shared" si="1"/>
        <v>Answered</v>
      </c>
      <c r="G13" s="4" t="s">
        <v>36</v>
      </c>
      <c r="H13" s="9" t="s">
        <v>51</v>
      </c>
    </row>
    <row r="14" spans="3:8" ht="43.5" x14ac:dyDescent="0.35">
      <c r="C14" s="3">
        <v>10</v>
      </c>
      <c r="D14" s="10" t="s">
        <v>24</v>
      </c>
      <c r="E14" s="5" t="b">
        <v>1</v>
      </c>
      <c r="F14" s="6" t="str">
        <f t="shared" si="1"/>
        <v>Answered</v>
      </c>
      <c r="G14" s="4" t="s">
        <v>34</v>
      </c>
      <c r="H14" s="9" t="s">
        <v>52</v>
      </c>
    </row>
    <row r="15" spans="3:8" ht="58" x14ac:dyDescent="0.35">
      <c r="C15" s="3">
        <v>11</v>
      </c>
      <c r="D15" s="10" t="s">
        <v>25</v>
      </c>
      <c r="E15" s="5" t="b">
        <v>1</v>
      </c>
      <c r="F15" s="6" t="str">
        <f t="shared" si="1"/>
        <v>Answered</v>
      </c>
      <c r="G15" s="4" t="s">
        <v>34</v>
      </c>
      <c r="H15" s="9" t="s">
        <v>53</v>
      </c>
    </row>
    <row r="16" spans="3:8" ht="145" customHeight="1" x14ac:dyDescent="0.35">
      <c r="C16" s="3">
        <v>12</v>
      </c>
      <c r="D16" s="4" t="s">
        <v>26</v>
      </c>
      <c r="E16" s="5" t="b">
        <v>1</v>
      </c>
      <c r="F16" s="6" t="str">
        <f t="shared" si="1"/>
        <v>Answered</v>
      </c>
      <c r="G16" s="4" t="s">
        <v>37</v>
      </c>
      <c r="H16" s="8" t="s">
        <v>55</v>
      </c>
    </row>
    <row r="17" spans="3:8" ht="145" x14ac:dyDescent="0.35">
      <c r="C17" s="3">
        <v>13</v>
      </c>
      <c r="D17" s="4" t="s">
        <v>27</v>
      </c>
      <c r="E17" s="5" t="b">
        <v>1</v>
      </c>
      <c r="F17" s="6" t="str">
        <f t="shared" si="1"/>
        <v>Answered</v>
      </c>
      <c r="G17" s="4" t="s">
        <v>38</v>
      </c>
      <c r="H17" s="9" t="s">
        <v>54</v>
      </c>
    </row>
    <row r="18" spans="3:8" x14ac:dyDescent="0.35">
      <c r="D18" s="2"/>
    </row>
    <row r="19" spans="3:8" x14ac:dyDescent="0.35">
      <c r="D19"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Christian Rojas </vt:lpstr>
      <vt:lpstr>Jon Are Suul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Leonardo Solis</dc:creator>
  <cp:lastModifiedBy>Leonardo Solis</cp:lastModifiedBy>
  <dcterms:created xsi:type="dcterms:W3CDTF">2026-03-10T13:21:22Z</dcterms:created>
  <dcterms:modified xsi:type="dcterms:W3CDTF">2026-03-17T21:09:46Z</dcterms:modified>
</cp:coreProperties>
</file>